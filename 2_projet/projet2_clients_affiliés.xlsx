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bafc868d3db5cc0/Documents/"/>
    </mc:Choice>
  </mc:AlternateContent>
  <xr:revisionPtr revIDLastSave="1574" documentId="8_{2FEC6A64-0280-F547-8AE2-99C819F2ED02}" xr6:coauthVersionLast="47" xr6:coauthVersionMax="47" xr10:uidLastSave="{BAAB52F3-D517-2C42-B54F-B2ACD8C3A175}"/>
  <bookViews>
    <workbookView xWindow="0" yWindow="0" windowWidth="28800" windowHeight="18000" activeTab="2" xr2:uid="{00000000-000D-0000-FFFF-FFFF00000000}"/>
  </bookViews>
  <sheets>
    <sheet name="Tableau de bord" sheetId="1" r:id="rId1"/>
    <sheet name="DATA Février (clients affiliés)" sheetId="3" r:id="rId2"/>
    <sheet name="Tableau Client x Catégorie" sheetId="2" r:id="rId3"/>
    <sheet name="Temps passé - Montant" sheetId="7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J11" i="1" l="1"/>
  <c r="J8" i="1"/>
  <c r="D16" i="1"/>
  <c r="D15" i="1"/>
  <c r="C16" i="1"/>
  <c r="C15" i="1"/>
  <c r="J9" i="1"/>
  <c r="J10" i="1"/>
</calcChain>
</file>

<file path=xl/sharedStrings.xml><?xml version="1.0" encoding="utf-8"?>
<sst xmlns="http://schemas.openxmlformats.org/spreadsheetml/2006/main" count="742" uniqueCount="45">
  <si>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</si>
  <si>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</si>
  <si>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</si>
  <si>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</si>
  <si>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</si>
  <si>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</si>
  <si>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</si>
  <si>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</si>
  <si>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</si>
  <si>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</si>
  <si>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</si>
  <si>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</si>
  <si>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</si>
  <si>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</si>
  <si>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</si>
  <si>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</si>
  <si>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</si>
  <si>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</si>
  <si>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</si>
  <si>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</si>
  <si>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</si>
  <si>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</si>
  <si>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</si>
  <si>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</si>
  <si>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</si>
  <si>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</si>
  <si>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</si>
  <si>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</si>
  <si>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</si>
  <si>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Chiffre d'affaires</t>
  </si>
  <si>
    <t>Étiquettes de colonnes</t>
  </si>
  <si>
    <t>Total Somme de Montant</t>
  </si>
  <si>
    <t>Total Nombre de Montant</t>
  </si>
  <si>
    <t>Nombre de Montant</t>
  </si>
  <si>
    <t>ID Clients</t>
  </si>
  <si>
    <t>Catégorie de produits</t>
  </si>
  <si>
    <t>Catégorie de produit</t>
  </si>
  <si>
    <t>Nourriture</t>
  </si>
  <si>
    <t>Bien de conso.</t>
  </si>
  <si>
    <t>Total du nombre de montant</t>
  </si>
  <si>
    <t>Total Somme de montant</t>
  </si>
  <si>
    <t>Nombre d'achats</t>
  </si>
  <si>
    <t>0</t>
  </si>
  <si>
    <t>Bien de conso,</t>
  </si>
  <si>
    <t>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</si>
</sst>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* #,##0.00_)\ &quot;€&quot;_ ;_ * \(#,##0.00\)\ &quot;€&quot;_ ;_ * &quot;-&quot;??_)\ &quot;€&quot;_ ;_ @_ "/>
    <numFmt numFmtId="164" formatCode="#,##0\ &quot;€&quot;"/>
    <numFmt numFmtId="165" formatCode="_-* #,##0.00\ &quot;€&quot;_-;\-* #,##0.00\ &quot;€&quot;_-;_-* &quot;-&quot;??\ &quot;€&quot;_-;_-@"/>
    <numFmt numFmtId="166" formatCode="_ * #,##0_)\ &quot;€&quot;_ ;_ * \(#,##0\)\ &quot;€&quot;_ ;_ * &quot;-&quot;??_)\ &quot;€&quot;_ ;_ @_ "/>
  </numFmts>
  <fonts count="1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4372C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4506668294322"/>
        <bgColor rgb="FF4372C5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thin">
        <color rgb="FF000000"/>
      </left>
      <right style="thick">
        <color indexed="64"/>
      </right>
      <top/>
      <bottom style="medium">
        <color rgb="FF000000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14" fontId="1" fillId="11" borderId="75" applyBorder="0"/>
  </cellStyleXfs>
  <cellXfs count="173">
    <xf numFmtId="0" fontId="0" fillId="0" borderId="0" xfId="0"/>
    <xf numFmtId="0" fontId="2" fillId="2" borderId="1" xfId="0" applyFont="1" applyFill="1" applyBorder="1"/>
    <xf numFmtId="0" fontId="8" fillId="2" borderId="12" xfId="0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0" fontId="8" fillId="5" borderId="16" xfId="0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 vertical="center"/>
    </xf>
    <xf numFmtId="164" fontId="8" fillId="5" borderId="18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 vertical="center"/>
    </xf>
    <xf numFmtId="164" fontId="8" fillId="2" borderId="21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164" fontId="6" fillId="4" borderId="22" xfId="0" applyNumberFormat="1" applyFont="1" applyFill="1" applyBorder="1" applyAlignment="1">
      <alignment horizontal="center" vertical="center"/>
    </xf>
    <xf numFmtId="164" fontId="6" fillId="4" borderId="23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20" fontId="2" fillId="2" borderId="1" xfId="0" applyNumberFormat="1" applyFont="1" applyFill="1" applyBorder="1"/>
    <xf numFmtId="0" fontId="2" fillId="2" borderId="27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2" borderId="29" xfId="0" applyFont="1" applyFill="1" applyBorder="1"/>
    <xf numFmtId="0" fontId="2" fillId="2" borderId="30" xfId="0" applyFont="1" applyFill="1" applyBorder="1"/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34" xfId="0" pivotButton="1" applyBorder="1"/>
    <xf numFmtId="0" fontId="0" fillId="0" borderId="36" xfId="0" applyBorder="1"/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9" xfId="0" applyBorder="1" applyAlignment="1">
      <alignment horizontal="left"/>
    </xf>
    <xf numFmtId="164" fontId="8" fillId="2" borderId="41" xfId="0" applyNumberFormat="1" applyFont="1" applyFill="1" applyBorder="1" applyAlignment="1">
      <alignment horizontal="center" vertical="center"/>
    </xf>
    <xf numFmtId="164" fontId="8" fillId="5" borderId="42" xfId="0" applyNumberFormat="1" applyFont="1" applyFill="1" applyBorder="1" applyAlignment="1">
      <alignment horizontal="center" vertical="center"/>
    </xf>
    <xf numFmtId="164" fontId="8" fillId="2" borderId="43" xfId="0" applyNumberFormat="1" applyFont="1" applyFill="1" applyBorder="1" applyAlignment="1">
      <alignment horizontal="center" vertical="center"/>
    </xf>
    <xf numFmtId="164" fontId="6" fillId="4" borderId="44" xfId="0" applyNumberFormat="1" applyFont="1" applyFill="1" applyBorder="1" applyAlignment="1">
      <alignment horizontal="center" vertical="center"/>
    </xf>
    <xf numFmtId="164" fontId="8" fillId="2" borderId="40" xfId="0" applyNumberFormat="1" applyFont="1" applyFill="1" applyBorder="1" applyAlignment="1">
      <alignment horizontal="center" vertical="center"/>
    </xf>
    <xf numFmtId="164" fontId="6" fillId="4" borderId="46" xfId="0" applyNumberFormat="1" applyFont="1" applyFill="1" applyBorder="1" applyAlignment="1">
      <alignment horizontal="center" vertical="center"/>
    </xf>
    <xf numFmtId="164" fontId="0" fillId="0" borderId="40" xfId="0" applyNumberFormat="1" applyBorder="1" applyAlignment="1">
      <alignment horizontal="center"/>
    </xf>
    <xf numFmtId="0" fontId="0" fillId="0" borderId="34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9" xfId="0" applyNumberFormat="1" applyBorder="1"/>
    <xf numFmtId="164" fontId="0" fillId="0" borderId="49" xfId="0" applyNumberFormat="1" applyBorder="1"/>
    <xf numFmtId="164" fontId="0" fillId="0" borderId="51" xfId="0" applyNumberFormat="1" applyBorder="1"/>
    <xf numFmtId="164" fontId="0" fillId="0" borderId="50" xfId="0" applyNumberForma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38" xfId="0" applyNumberFormat="1" applyBorder="1"/>
    <xf numFmtId="0" fontId="2" fillId="2" borderId="13" xfId="0" applyFon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2" fillId="5" borderId="28" xfId="0" applyNumberFormat="1" applyFont="1" applyFill="1" applyBorder="1" applyAlignment="1">
      <alignment horizontal="center"/>
    </xf>
    <xf numFmtId="164" fontId="6" fillId="4" borderId="11" xfId="0" applyNumberFormat="1" applyFont="1" applyFill="1" applyBorder="1" applyAlignment="1">
      <alignment horizontal="center" vertical="center"/>
    </xf>
    <xf numFmtId="164" fontId="13" fillId="2" borderId="53" xfId="0" applyNumberFormat="1" applyFont="1" applyFill="1" applyBorder="1" applyAlignment="1">
      <alignment horizontal="center" vertical="center"/>
    </xf>
    <xf numFmtId="164" fontId="13" fillId="0" borderId="54" xfId="0" applyNumberFormat="1" applyFont="1" applyBorder="1" applyAlignment="1">
      <alignment horizontal="center" vertical="center"/>
    </xf>
    <xf numFmtId="164" fontId="13" fillId="2" borderId="55" xfId="0" applyNumberFormat="1" applyFont="1" applyFill="1" applyBorder="1" applyAlignment="1">
      <alignment horizontal="center" vertical="center"/>
    </xf>
    <xf numFmtId="9" fontId="0" fillId="0" borderId="36" xfId="0" applyNumberFormat="1" applyBorder="1"/>
    <xf numFmtId="9" fontId="0" fillId="0" borderId="37" xfId="0" applyNumberFormat="1" applyBorder="1"/>
    <xf numFmtId="9" fontId="0" fillId="0" borderId="38" xfId="0" applyNumberFormat="1" applyBorder="1"/>
    <xf numFmtId="3" fontId="2" fillId="6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" fillId="8" borderId="0" xfId="0" applyNumberFormat="1" applyFont="1" applyFill="1" applyAlignment="1">
      <alignment horizontal="center" vertical="center"/>
    </xf>
    <xf numFmtId="44" fontId="2" fillId="6" borderId="0" xfId="1" applyFont="1" applyFill="1" applyAlignment="1">
      <alignment horizontal="center" vertical="center"/>
    </xf>
    <xf numFmtId="44" fontId="2" fillId="7" borderId="0" xfId="1" applyFont="1" applyFill="1" applyAlignment="1">
      <alignment horizontal="center" vertical="center"/>
    </xf>
    <xf numFmtId="44" fontId="2" fillId="8" borderId="0" xfId="1" applyFont="1" applyFill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68" xfId="0" applyBorder="1" applyAlignment="1">
      <alignment horizontal="left"/>
    </xf>
    <xf numFmtId="0" fontId="12" fillId="0" borderId="57" xfId="0" applyFont="1" applyBorder="1"/>
    <xf numFmtId="0" fontId="12" fillId="0" borderId="56" xfId="0" applyFont="1" applyBorder="1"/>
    <xf numFmtId="0" fontId="14" fillId="0" borderId="6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0" xfId="0" pivotButton="1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71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40" xfId="0" pivotButton="1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65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166" fontId="0" fillId="0" borderId="0" xfId="1" applyNumberFormat="1" applyFont="1"/>
    <xf numFmtId="166" fontId="14" fillId="0" borderId="66" xfId="1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/>
    </xf>
    <xf numFmtId="166" fontId="14" fillId="0" borderId="59" xfId="1" applyNumberFormat="1" applyFont="1" applyBorder="1" applyAlignment="1">
      <alignment horizontal="center" vertical="center" wrapText="1"/>
    </xf>
    <xf numFmtId="166" fontId="12" fillId="0" borderId="73" xfId="1" applyNumberFormat="1" applyFont="1" applyBorder="1"/>
    <xf numFmtId="166" fontId="12" fillId="0" borderId="78" xfId="1" applyNumberFormat="1" applyFont="1" applyBorder="1"/>
    <xf numFmtId="166" fontId="12" fillId="0" borderId="82" xfId="1" applyNumberFormat="1" applyFont="1" applyBorder="1"/>
    <xf numFmtId="0" fontId="12" fillId="0" borderId="77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166" fontId="12" fillId="0" borderId="84" xfId="1" applyNumberFormat="1" applyFont="1" applyBorder="1"/>
    <xf numFmtId="0" fontId="12" fillId="0" borderId="75" xfId="0" applyFont="1" applyBorder="1" applyAlignment="1">
      <alignment horizontal="center"/>
    </xf>
    <xf numFmtId="0" fontId="12" fillId="0" borderId="85" xfId="0" applyFont="1" applyBorder="1"/>
    <xf numFmtId="166" fontId="12" fillId="0" borderId="85" xfId="1" applyNumberFormat="1" applyFont="1" applyBorder="1"/>
    <xf numFmtId="0" fontId="12" fillId="0" borderId="83" xfId="0" applyFont="1" applyBorder="1" applyAlignment="1">
      <alignment horizontal="center"/>
    </xf>
    <xf numFmtId="0" fontId="12" fillId="0" borderId="58" xfId="0" applyFont="1" applyBorder="1"/>
    <xf numFmtId="0" fontId="12" fillId="0" borderId="87" xfId="0" applyFont="1" applyBorder="1"/>
    <xf numFmtId="0" fontId="0" fillId="0" borderId="0" xfId="0" applyAlignment="1">
      <alignment horizontal="center" vertical="center"/>
    </xf>
    <xf numFmtId="1" fontId="12" fillId="0" borderId="85" xfId="0" applyNumberFormat="1" applyFont="1" applyBorder="1" applyAlignment="1">
      <alignment horizontal="center" vertical="center"/>
    </xf>
    <xf numFmtId="1" fontId="12" fillId="0" borderId="58" xfId="0" applyNumberFormat="1" applyFont="1" applyBorder="1" applyAlignment="1">
      <alignment horizontal="center" vertical="center"/>
    </xf>
    <xf numFmtId="166" fontId="12" fillId="0" borderId="85" xfId="1" applyNumberFormat="1" applyFont="1" applyBorder="1" applyAlignment="1"/>
    <xf numFmtId="166" fontId="12" fillId="0" borderId="86" xfId="1" applyNumberFormat="1" applyFont="1" applyBorder="1" applyAlignment="1">
      <alignment horizontal="right"/>
    </xf>
    <xf numFmtId="0" fontId="12" fillId="0" borderId="86" xfId="0" applyFont="1" applyBorder="1"/>
    <xf numFmtId="166" fontId="0" fillId="0" borderId="85" xfId="1" applyNumberFormat="1" applyFont="1" applyBorder="1"/>
    <xf numFmtId="0" fontId="12" fillId="0" borderId="85" xfId="0" applyFont="1" applyBorder="1" applyAlignment="1">
      <alignment horizontal="center"/>
    </xf>
    <xf numFmtId="0" fontId="12" fillId="0" borderId="85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0" borderId="9" xfId="0" applyFont="1" applyBorder="1"/>
    <xf numFmtId="0" fontId="6" fillId="4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4" borderId="7" xfId="0" applyFont="1" applyFill="1" applyBorder="1" applyAlignment="1">
      <alignment horizontal="center" vertical="center"/>
    </xf>
    <xf numFmtId="0" fontId="4" fillId="0" borderId="45" xfId="0" applyFont="1" applyBorder="1"/>
    <xf numFmtId="0" fontId="7" fillId="4" borderId="8" xfId="0" applyFont="1" applyFill="1" applyBorder="1" applyAlignment="1">
      <alignment horizontal="center" vertical="center"/>
    </xf>
    <xf numFmtId="0" fontId="4" fillId="0" borderId="52" xfId="0" applyFont="1" applyBorder="1"/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166" fontId="14" fillId="0" borderId="66" xfId="1" applyNumberFormat="1" applyFont="1" applyBorder="1" applyAlignment="1">
      <alignment horizontal="center" vertical="center" wrapText="1"/>
    </xf>
    <xf numFmtId="166" fontId="14" fillId="0" borderId="67" xfId="1" applyNumberFormat="1" applyFont="1" applyBorder="1" applyAlignment="1">
      <alignment horizontal="center" vertical="center" wrapText="1"/>
    </xf>
    <xf numFmtId="166" fontId="14" fillId="0" borderId="68" xfId="1" applyNumberFormat="1" applyFont="1" applyBorder="1" applyAlignment="1">
      <alignment horizontal="center" vertical="center" wrapText="1"/>
    </xf>
    <xf numFmtId="0" fontId="15" fillId="9" borderId="59" xfId="0" applyFont="1" applyFill="1" applyBorder="1" applyAlignment="1">
      <alignment horizontal="center" wrapText="1"/>
    </xf>
    <xf numFmtId="0" fontId="15" fillId="9" borderId="69" xfId="0" applyFont="1" applyFill="1" applyBorder="1" applyAlignment="1">
      <alignment horizontal="center" wrapText="1"/>
    </xf>
    <xf numFmtId="0" fontId="15" fillId="10" borderId="59" xfId="0" applyFont="1" applyFill="1" applyBorder="1" applyAlignment="1">
      <alignment horizontal="center" wrapText="1"/>
    </xf>
    <xf numFmtId="0" fontId="15" fillId="10" borderId="69" xfId="0" applyFont="1" applyFill="1" applyBorder="1" applyAlignment="1">
      <alignment horizont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/>
    </xf>
    <xf numFmtId="44" fontId="12" fillId="0" borderId="86" xfId="1" applyNumberFormat="1" applyFont="1" applyBorder="1" applyAlignment="1">
      <alignment horizontal="right"/>
    </xf>
    <xf numFmtId="44" fontId="12" fillId="0" borderId="89" xfId="1" applyNumberFormat="1" applyFont="1" applyBorder="1" applyAlignment="1">
      <alignment horizontal="right"/>
    </xf>
    <xf numFmtId="44" fontId="12" fillId="0" borderId="85" xfId="1" applyNumberFormat="1" applyFont="1" applyBorder="1" applyAlignment="1">
      <alignment horizontal="right"/>
    </xf>
    <xf numFmtId="44" fontId="12" fillId="0" borderId="76" xfId="1" applyNumberFormat="1" applyFont="1" applyBorder="1"/>
    <xf numFmtId="44" fontId="12" fillId="0" borderId="73" xfId="1" applyNumberFormat="1" applyFont="1" applyBorder="1"/>
    <xf numFmtId="44" fontId="12" fillId="0" borderId="78" xfId="1" applyNumberFormat="1" applyFont="1" applyBorder="1"/>
    <xf numFmtId="44" fontId="12" fillId="0" borderId="90" xfId="1" applyNumberFormat="1" applyFont="1" applyBorder="1"/>
    <xf numFmtId="44" fontId="12" fillId="0" borderId="79" xfId="1" applyNumberFormat="1" applyFont="1" applyBorder="1"/>
    <xf numFmtId="44" fontId="12" fillId="0" borderId="74" xfId="1" applyNumberFormat="1" applyFont="1" applyBorder="1"/>
    <xf numFmtId="44" fontId="12" fillId="0" borderId="80" xfId="1" applyNumberFormat="1" applyFont="1" applyBorder="1"/>
    <xf numFmtId="44" fontId="12" fillId="0" borderId="88" xfId="1" applyNumberFormat="1" applyFont="1" applyBorder="1"/>
    <xf numFmtId="44" fontId="12" fillId="0" borderId="85" xfId="1" applyNumberFormat="1" applyFont="1" applyBorder="1" applyAlignment="1"/>
  </cellXfs>
  <cellStyles count="3">
    <cellStyle name="Monétaire" xfId="1" builtinId="4"/>
    <cellStyle name="Normal" xfId="0" builtinId="0"/>
    <cellStyle name="Style 1" xfId="2" xr:uid="{CB439091-5113-204D-8DBB-F1A1678BCF00}"/>
  </cellStyles>
  <dxfs count="162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0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/>
        <top/>
        <bottom/>
        <vertic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3" formatCode="0%"/>
    </dxf>
    <dxf>
      <numFmt numFmtId="14" formatCode="0.00%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61"/>
      <tableStyleElement type="totalRow" dxfId="160"/>
      <tableStyleElement type="firstRowStripe" dxfId="159"/>
      <tableStyleElement type="secondRowStripe" dxfId="158"/>
    </tableStyle>
  </tableStyles>
  <colors>
    <mruColors>
      <color rgb="FF4372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421251844159945E-2"/>
          <c:y val="0.12299998062992432"/>
          <c:w val="0.86968986266930337"/>
          <c:h val="0.72616476753310744"/>
        </c:manualLayout>
      </c:layout>
      <c:lineChart>
        <c:grouping val="standar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conso,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2-A346-AA84-A89FFEE3A5A1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2-A346-AA84-A89FFEE3A5A1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High-tech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#,##0\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2-A346-AA84-A89FFEE3A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91775"/>
        <c:axId val="138894047"/>
      </c:lineChart>
      <c:catAx>
        <c:axId val="13889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894047"/>
        <c:crosses val="autoZero"/>
        <c:auto val="1"/>
        <c:lblAlgn val="ctr"/>
        <c:lblOffset val="100"/>
        <c:noMultiLvlLbl val="0"/>
      </c:catAx>
      <c:valAx>
        <c:axId val="1388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9772176747841055E-2"/>
              <c:y val="0.3788248222323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89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210626840715065"/>
          <c:y val="3.1374798208693204E-2"/>
          <c:w val="0.30134293076614777"/>
          <c:h val="8.9625340216481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[Canonne_Jordan_2_Clients_affiliés_220523.xlsx]DATA Février (clients affiliés)!Tableau croisé dynamique2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4372C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4372C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4372C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66715161018622"/>
          <c:y val="0.10189574998825161"/>
          <c:w val="0.67570487296081361"/>
          <c:h val="0.73121337703605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affiliés)'!$G$3:$G$4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rgbClr val="4372C5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affiliés)'!$F$5:$F$15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affiliés)'!$G$5:$G$15</c:f>
              <c:numCache>
                <c:formatCode>#,##0\ "€"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A-C945-9D44-BF76DC46571B}"/>
            </c:ext>
          </c:extLst>
        </c:ser>
        <c:ser>
          <c:idx val="1"/>
          <c:order val="1"/>
          <c:tx>
            <c:strRef>
              <c:f>'DATA Février (clients affiliés)'!$H$3:$H$4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affiliés)'!$F$5:$F$15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affiliés)'!$H$5:$H$15</c:f>
              <c:numCache>
                <c:formatCode>#,##0\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A-C945-9D44-BF76DC46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88303"/>
        <c:axId val="92340543"/>
      </c:barChart>
      <c:catAx>
        <c:axId val="9278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40543"/>
        <c:crosses val="autoZero"/>
        <c:auto val="1"/>
        <c:lblAlgn val="ctr"/>
        <c:lblOffset val="100"/>
        <c:noMultiLvlLbl val="0"/>
      </c:catAx>
      <c:valAx>
        <c:axId val="923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8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82542957416843"/>
          <c:y val="0.44933088966087797"/>
          <c:w val="7.8009520364221346E-2"/>
          <c:h val="0.10133798932828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[Canonne_Jordan_2_Clients_affiliés_220523.xlsx]DATA Février (clients affiliés)!Tableau croisé dynamique4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Février (clients affiliés)'!$G$21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8A-E240-9C43-FF30B492937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8A-E240-9C43-FF30B4929373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Février (clients affiliés)'!$F$22:$F$24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'DATA Février (clients affiliés)'!$G$22:$G$24</c:f>
              <c:numCache>
                <c:formatCode>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A-E240-9C43-FF30B492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689012014326648E-2"/>
          <c:y val="7.6861314752127305E-2"/>
          <c:w val="0.84299735704879319"/>
          <c:h val="0.79169149136952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'Temps passé - Montant'!$C$2</c:f>
              <c:strCache>
                <c:ptCount val="1"/>
                <c:pt idx="0">
                  <c:v> Montant 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'Temps passé - Montant'!$B$3:$B$662</c:f>
              <c:numCache>
                <c:formatCode>#,##0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'Temps passé - Montant'!$C$3:$C$662</c:f>
              <c:numCache>
                <c:formatCode>_("€"* #,##0.00_);_("€"* \(#,##0.00\);_("€"* "-"??_);_(@_)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A-5845-B0AA-ACAC51F5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77599"/>
        <c:axId val="228769215"/>
      </c:scatterChart>
      <c:valAx>
        <c:axId val="8047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Temps</a:t>
                </a:r>
                <a:r>
                  <a:rPr lang="fr-FR" b="1" baseline="0"/>
                  <a:t> passé (en minutes)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8769215"/>
        <c:crosses val="autoZero"/>
        <c:crossBetween val="midCat"/>
      </c:valAx>
      <c:valAx>
        <c:axId val="228769215"/>
        <c:scaling>
          <c:orientation val="minMax"/>
          <c:max val="140.1"/>
          <c:min val="0.0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</a:t>
                </a:r>
                <a:r>
                  <a:rPr lang="fr-FR" b="1" baseline="0"/>
                  <a:t> du panier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775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61843017202178"/>
          <c:y val="0.18052899840154416"/>
          <c:w val="0.76156955380577418"/>
          <c:h val="0.647344823372277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E4-104D-9112-97291BC92F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E4-104D-9112-97291BC92F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conso,</c:v>
                </c:pt>
                <c:pt idx="1">
                  <c:v>Nourriture</c:v>
                </c:pt>
                <c:pt idx="2">
                  <c:v>High-tech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107400.82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4-104D-9112-97291BC92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020111"/>
        <c:axId val="397648431"/>
      </c:barChart>
      <c:catAx>
        <c:axId val="398020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Catégorie de</a:t>
                </a:r>
                <a:r>
                  <a:rPr lang="fr-FR" b="1" baseline="0"/>
                  <a:t> produits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47798677075255369"/>
              <c:y val="0.91403416380344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7648431"/>
        <c:crosses val="autoZero"/>
        <c:auto val="1"/>
        <c:lblAlgn val="ctr"/>
        <c:lblOffset val="100"/>
        <c:noMultiLvlLbl val="0"/>
      </c:catAx>
      <c:valAx>
        <c:axId val="3976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</a:t>
                </a:r>
                <a:r>
                  <a:rPr lang="fr-FR" b="1" baseline="0"/>
                  <a:t> d'affaires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4.5471882414759753E-2"/>
              <c:y val="0.36832946285852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02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[Canonne_Jordan_2_Clients_affiliés_220523.xlsx]DATA Février (clients affiliés)!Tableau croisé dynamique4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Février (clients affiliés)'!$G$21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22-C14C-9E68-661526EAD0F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15-4D4D-A754-03D19CE26E4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Février (clients affiliés)'!$F$22:$F$24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'DATA Février (clients affiliés)'!$G$22:$G$24</c:f>
              <c:numCache>
                <c:formatCode>0%</c:formatCode>
                <c:ptCount val="2"/>
                <c:pt idx="0">
                  <c:v>0.37223619560131022</c:v>
                </c:pt>
                <c:pt idx="1">
                  <c:v>0.62776380439868973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5-4D4D-A754-03D19CE2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[Canonne_Jordan_2_Clients_affiliés_220523.xlsx]DATA Février (clients affiliés)!Tableau croisé dynamique2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4372C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6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66715161018622"/>
          <c:y val="0.10189574998825161"/>
          <c:w val="0.67570487296081361"/>
          <c:h val="0.731213377036052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affiliés)'!$G$3:$G$4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rgbClr val="4372C5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affiliés)'!$F$5:$F$15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affiliés)'!$G$5:$G$15</c:f>
              <c:numCache>
                <c:formatCode>#,##0\ "€"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B-EA4E-98AB-C111C479522E}"/>
            </c:ext>
          </c:extLst>
        </c:ser>
        <c:ser>
          <c:idx val="1"/>
          <c:order val="1"/>
          <c:tx>
            <c:strRef>
              <c:f>'DATA Février (clients affiliés)'!$H$3:$H$4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accent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Février (clients affiliés)'!$F$5:$F$15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'DATA Février (clients affiliés)'!$H$5:$H$15</c:f>
              <c:numCache>
                <c:formatCode>#,##0\ "€"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B-EA4E-98AB-C111C4795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88303"/>
        <c:axId val="92340543"/>
      </c:barChart>
      <c:catAx>
        <c:axId val="92788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40543"/>
        <c:crosses val="autoZero"/>
        <c:auto val="1"/>
        <c:lblAlgn val="ctr"/>
        <c:lblOffset val="100"/>
        <c:noMultiLvlLbl val="0"/>
      </c:catAx>
      <c:valAx>
        <c:axId val="923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8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'Temps passé - Montant'!$C$2</c:f>
              <c:strCache>
                <c:ptCount val="1"/>
                <c:pt idx="0">
                  <c:v> Montant 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'Temps passé - Montant'!$B$3:$B$662</c:f>
              <c:numCache>
                <c:formatCode>#,##0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'Temps passé - Montant'!$C$3:$C$662</c:f>
              <c:numCache>
                <c:formatCode>_("€"* #,##0.00_);_("€"* \(#,##0.00\);_("€"* "-"??_);_(@_)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0-064A-B463-80E6A753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77599"/>
        <c:axId val="228769215"/>
      </c:scatterChart>
      <c:valAx>
        <c:axId val="8047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Temps</a:t>
                </a:r>
                <a:r>
                  <a:rPr lang="fr-FR" b="1" baseline="0"/>
                  <a:t> passé (en minutes)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8769215"/>
        <c:crosses val="autoZero"/>
        <c:crossBetween val="midCat"/>
      </c:valAx>
      <c:valAx>
        <c:axId val="228769215"/>
        <c:scaling>
          <c:orientation val="minMax"/>
          <c:max val="140.1"/>
          <c:min val="0.0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</a:t>
                </a:r>
                <a:r>
                  <a:rPr lang="fr-FR" b="1" baseline="0"/>
                  <a:t> du panier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€&quot;* #,##0_);_(&quot;€&quot;* \(#,##0\);_(&quot;€&quot;* &quot;-&quot;_);_(@_)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775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16932</xdr:colOff>
      <xdr:row>20</xdr:row>
      <xdr:rowOff>16932</xdr:rowOff>
    </xdr:from>
    <xdr:to>
      <xdr:col>9</xdr:col>
      <xdr:colOff>1219199</xdr:colOff>
      <xdr:row>42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3EA37A-FB02-CB6F-A79A-C9969E1A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11140</xdr:colOff>
      <xdr:row>70</xdr:row>
      <xdr:rowOff>11141</xdr:rowOff>
    </xdr:from>
    <xdr:to>
      <xdr:col>9</xdr:col>
      <xdr:colOff>1258859</xdr:colOff>
      <xdr:row>92</xdr:row>
      <xdr:rowOff>167106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6CE75F0-8EC9-C147-A1EC-A73F6150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238805</xdr:colOff>
      <xdr:row>120</xdr:row>
      <xdr:rowOff>10856</xdr:rowOff>
    </xdr:from>
    <xdr:to>
      <xdr:col>7</xdr:col>
      <xdr:colOff>260514</xdr:colOff>
      <xdr:row>142</xdr:row>
      <xdr:rowOff>162820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8AC63BE-8E3C-1A4E-B854-4E3E9FAEA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10854</xdr:colOff>
      <xdr:row>95</xdr:row>
      <xdr:rowOff>10855</xdr:rowOff>
    </xdr:from>
    <xdr:to>
      <xdr:col>9</xdr:col>
      <xdr:colOff>1248291</xdr:colOff>
      <xdr:row>117</xdr:row>
      <xdr:rowOff>173675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AC9DE329-3B76-6949-B503-C7B77198D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22265</xdr:colOff>
      <xdr:row>45</xdr:row>
      <xdr:rowOff>16998</xdr:rowOff>
    </xdr:from>
    <xdr:to>
      <xdr:col>9</xdr:col>
      <xdr:colOff>1254320</xdr:colOff>
      <xdr:row>68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2FCB68C-A22E-34CF-ADCB-9E1ECA366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7938</xdr:colOff>
      <xdr:row>19</xdr:row>
      <xdr:rowOff>189865</xdr:rowOff>
    </xdr:from>
    <xdr:to>
      <xdr:col>14</xdr:col>
      <xdr:colOff>388938</xdr:colOff>
      <xdr:row>32</xdr:row>
      <xdr:rowOff>39688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F45727D-04E2-663B-46A5-BB64BD773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396466</xdr:colOff>
      <xdr:row>1</xdr:row>
      <xdr:rowOff>73432</xdr:rowOff>
    </xdr:from>
    <xdr:to>
      <xdr:col>20</xdr:col>
      <xdr:colOff>103186</xdr:colOff>
      <xdr:row>15</xdr:row>
      <xdr:rowOff>23813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B2F6891-7362-BB0B-C236-0F88ED0BA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4</xdr:row>
      <xdr:rowOff>95250</xdr:rowOff>
    </xdr:from>
    <xdr:to>
      <xdr:col>11</xdr:col>
      <xdr:colOff>647700</xdr:colOff>
      <xdr:row>18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BC30291-EBE5-D337-B617-DC7800B6E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083.901110763887" createdVersion="8" refreshedVersion="8" minRefreshableVersion="3" recordCount="660" xr:uid="{D061909E-24C0-D446-ADEB-2325A8FAC6B1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C1924-64DC-364D-AD86-1E43B5300980}" name="Tableau croisé dynamique4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F21:G24" firstHeaderRow="1" firstDataRow="1" firstDataCol="1"/>
  <pivotFields count="4">
    <pivotField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me de Montant" fld="2" showDataAs="percentOfCol" baseField="0" baseItem="0" numFmtId="9"/>
  </dataFields>
  <formats count="2">
    <format dxfId="157">
      <pivotArea collapsedLevelsAreSubtotals="1" fieldPosition="0">
        <references count="1">
          <reference field="3" count="1">
            <x v="0"/>
          </reference>
        </references>
      </pivotArea>
    </format>
    <format dxfId="156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27964-5EAD-4E41-95A4-E97A9D10BBBA}" name="Tableau croisé dynamique2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F3:I15" firstHeaderRow="1" firstDataRow="2" firstDataCol="1"/>
  <pivotFields count="4">
    <pivotField axis="axisRow" showAll="0" measureFilter="1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hiffre d'affaires" fld="2" baseField="0" baseItem="0" numFmtId="164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19469-00E4-9E49-95A2-76C9CF4FD866}" name="Tableau croisé dynamique5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s" colHeaderCaption="Catégorie de produit">
  <location ref="K7:Q76" firstHeaderRow="1" firstDataRow="3" firstDataCol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Montant" fld="2" subtotal="count" baseField="0" baseItem="0"/>
    <dataField name="Somme de Montant" fld="2" baseField="0" baseItem="0"/>
  </dataFields>
  <formats count="148">
    <format dxfId="14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46">
      <pivotArea type="topRight" dataOnly="0" labelOnly="1" outline="0" offset="C1:D1" fieldPosition="0"/>
    </format>
    <format dxfId="14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3">
      <pivotArea type="topRight" dataOnly="0" labelOnly="1" outline="0" offset="A1:B1" fieldPosition="0"/>
    </format>
    <format dxfId="142">
      <pivotArea dataOnly="0" labelOnly="1" fieldPosition="0">
        <references count="1">
          <reference field="3" count="1">
            <x v="1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40">
      <pivotArea type="topRight" dataOnly="0" labelOnly="1" outline="0" offset="D1" fieldPosition="0"/>
    </format>
    <format dxfId="13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7">
      <pivotArea dataOnly="0" labelOnly="1" fieldPosition="0">
        <references count="1">
          <reference field="3" count="1">
            <x v="0"/>
          </reference>
        </references>
      </pivotArea>
    </format>
    <format dxfId="13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35">
      <pivotArea dataOnly="0" labelOnly="1" fieldPosition="0">
        <references count="1">
          <reference field="3" count="1">
            <x v="1"/>
          </reference>
        </references>
      </pivotArea>
    </format>
    <format dxfId="134">
      <pivotArea type="topRight" dataOnly="0" labelOnly="1" outline="0" offset="A1:B1" fieldPosition="0"/>
    </format>
    <format dxfId="133">
      <pivotArea dataOnly="0" labelOnly="1" fieldPosition="0">
        <references count="1">
          <reference field="3" count="1">
            <x v="1"/>
          </reference>
        </references>
      </pivotArea>
    </format>
    <format dxfId="13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31">
      <pivotArea field="3" type="button" dataOnly="0" labelOnly="1" outline="0" axis="axisCol" fieldPosition="0"/>
    </format>
    <format dxfId="130">
      <pivotArea field="-2" type="button" dataOnly="0" labelOnly="1" outline="0" axis="axisCol" fieldPosition="1"/>
    </format>
    <format dxfId="129">
      <pivotArea dataOnly="0" labelOnly="1" fieldPosition="0">
        <references count="1">
          <reference field="3" count="1">
            <x v="0"/>
          </reference>
        </references>
      </pivotArea>
    </format>
    <format dxfId="12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27">
      <pivotArea field="0" type="button" dataOnly="0" labelOnly="1" outline="0" axis="axisRow" fieldPosition="0"/>
    </format>
    <format dxfId="12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3" count="1" selected="0">
            <x v="0"/>
          </reference>
        </references>
      </pivotArea>
    </format>
    <format dxfId="125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3" count="1" selected="0">
            <x v="1"/>
          </reference>
        </references>
      </pivotArea>
    </format>
    <format dxfId="124">
      <pivotArea field="0" grandCol="1" collapsedLevelsAreSubtotals="1" axis="axisRow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2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2">
      <pivotArea dataOnly="0" labelOnly="1" fieldPosition="0">
        <references count="1">
          <reference field="0" count="1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21">
      <pivotArea type="origin" dataOnly="0" labelOnly="1" outline="0" fieldPosition="0"/>
    </format>
    <format dxfId="120">
      <pivotArea field="3" type="button" dataOnly="0" labelOnly="1" outline="0" axis="axisCol" fieldPosition="0"/>
    </format>
    <format dxfId="119">
      <pivotArea field="-2" type="button" dataOnly="0" labelOnly="1" outline="0" axis="axisCol" fieldPosition="1"/>
    </format>
    <format dxfId="118">
      <pivotArea type="topRight" dataOnly="0" labelOnly="1" outline="0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11">
      <pivotArea type="origin" dataOnly="0" labelOnly="1" outline="0" fieldPosition="0"/>
    </format>
    <format dxfId="110">
      <pivotArea field="3" type="button" dataOnly="0" labelOnly="1" outline="0" axis="axisCol" fieldPosition="0"/>
    </format>
    <format dxfId="109">
      <pivotArea field="-2" type="button" dataOnly="0" labelOnly="1" outline="0" axis="axisCol" fieldPosition="1"/>
    </format>
    <format dxfId="108">
      <pivotArea type="topRight" dataOnly="0" labelOnly="1" outline="0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03">
      <pivotArea type="origin" dataOnly="0" labelOnly="1" outline="0" fieldPosition="0"/>
    </format>
    <format dxfId="102">
      <pivotArea field="3" type="button" dataOnly="0" labelOnly="1" outline="0" axis="axisCol" fieldPosition="0"/>
    </format>
    <format dxfId="101">
      <pivotArea field="-2" type="button" dataOnly="0" labelOnly="1" outline="0" axis="axisCol" fieldPosition="1"/>
    </format>
    <format dxfId="100">
      <pivotArea type="topRight" dataOnly="0" labelOnly="1" outline="0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91">
      <pivotArea type="origin" dataOnly="0" labelOnly="1" outline="0" fieldPosition="0"/>
    </format>
    <format dxfId="90">
      <pivotArea field="3" type="button" dataOnly="0" labelOnly="1" outline="0" axis="axisCol" fieldPosition="0"/>
    </format>
    <format dxfId="89">
      <pivotArea field="-2" type="button" dataOnly="0" labelOnly="1" outline="0" axis="axisCol" fieldPosition="1"/>
    </format>
    <format dxfId="88">
      <pivotArea type="topRight" dataOnly="0" labelOnly="1" outline="0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79">
      <pivotArea type="origin" dataOnly="0" labelOnly="1" outline="0" fieldPosition="0"/>
    </format>
    <format dxfId="78">
      <pivotArea field="3" type="button" dataOnly="0" labelOnly="1" outline="0" axis="axisCol" fieldPosition="0"/>
    </format>
    <format dxfId="77">
      <pivotArea field="-2" type="button" dataOnly="0" labelOnly="1" outline="0" axis="axisCol" fieldPosition="1"/>
    </format>
    <format dxfId="76">
      <pivotArea type="topRight" dataOnly="0" labelOnly="1" outline="0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67">
      <pivotArea type="origin" dataOnly="0" labelOnly="1" outline="0" fieldPosition="0"/>
    </format>
    <format dxfId="66">
      <pivotArea field="3" type="button" dataOnly="0" labelOnly="1" outline="0" axis="axisCol" fieldPosition="0"/>
    </format>
    <format dxfId="65">
      <pivotArea field="-2" type="button" dataOnly="0" labelOnly="1" outline="0" axis="axisCol" fieldPosition="1"/>
    </format>
    <format dxfId="64">
      <pivotArea type="topRight" dataOnly="0" labelOnly="1" outline="0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5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field="-2" type="button" dataOnly="0" labelOnly="1" outline="0" axis="axisCol" fieldPosition="1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field="-2" type="button" dataOnly="0" labelOnly="1" outline="0" axis="axisCol" fieldPosition="1"/>
    </format>
    <format dxfId="40">
      <pivotArea type="topRight" dataOnly="0" labelOnly="1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6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31">
      <pivotArea type="origin" dataOnly="0" labelOnly="1" outline="0" fieldPosition="0"/>
    </format>
    <format dxfId="30">
      <pivotArea field="3" type="button" dataOnly="0" labelOnly="1" outline="0" axis="axisCol" fieldPosition="0"/>
    </format>
    <format dxfId="29">
      <pivotArea field="-2" type="button" dataOnly="0" labelOnly="1" outline="0" axis="axisCol" fieldPosition="1"/>
    </format>
    <format dxfId="28">
      <pivotArea type="topRight" dataOnly="0" labelOnly="1" outline="0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21">
      <pivotArea type="origin" dataOnly="0" labelOnly="1" outline="0" fieldPosition="0"/>
    </format>
    <format dxfId="20">
      <pivotArea field="3" type="button" dataOnly="0" labelOnly="1" outline="0" axis="axisCol" fieldPosition="0"/>
    </format>
    <format dxfId="19">
      <pivotArea field="-2" type="button" dataOnly="0" labelOnly="1" outline="0" axis="axisCol" fieldPosition="1"/>
    </format>
    <format dxfId="18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">
      <pivotArea type="origin" dataOnly="0" labelOnly="1" outline="0" fieldPosition="0"/>
    </format>
    <format dxfId="8">
      <pivotArea field="3" type="button" dataOnly="0" labelOnly="1" outline="0" axis="axisCol" fieldPosition="0"/>
    </format>
    <format dxfId="7">
      <pivotArea field="-2" type="button" dataOnly="0" labelOnly="1" outline="0" axis="axisCol" fieldPosition="1"/>
    </format>
    <format dxfId="6">
      <pivotArea type="topRight" dataOnly="0" labelOnly="1" outline="0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32" zoomScale="81" workbookViewId="0">
      <selection activeCell="N26" sqref="N26"/>
    </sheetView>
  </sheetViews>
  <sheetFormatPr baseColWidth="10" defaultColWidth="14.5" defaultRowHeight="15" customHeight="1" x14ac:dyDescent="0.2"/>
  <cols>
    <col min="1" max="1" width="11.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135" t="s">
        <v>0</v>
      </c>
      <c r="C2" s="133"/>
      <c r="D2" s="133"/>
      <c r="E2" s="133"/>
      <c r="F2" s="133"/>
      <c r="G2" s="133"/>
      <c r="H2" s="133"/>
      <c r="I2" s="133"/>
      <c r="J2" s="1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136" t="s">
        <v>1</v>
      </c>
      <c r="D6" s="138" t="s">
        <v>2</v>
      </c>
      <c r="E6" s="138" t="s">
        <v>3</v>
      </c>
      <c r="F6" s="138" t="s">
        <v>4</v>
      </c>
      <c r="G6" s="138" t="s">
        <v>5</v>
      </c>
      <c r="H6" s="140" t="s">
        <v>6</v>
      </c>
      <c r="I6" s="1"/>
      <c r="J6" s="142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thickBot="1" x14ac:dyDescent="0.25">
      <c r="A7" s="1"/>
      <c r="B7" s="1"/>
      <c r="C7" s="137"/>
      <c r="D7" s="139"/>
      <c r="E7" s="139"/>
      <c r="F7" s="139"/>
      <c r="G7" s="139"/>
      <c r="H7" s="141"/>
      <c r="I7" s="1"/>
      <c r="J7" s="14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2">
      <c r="A8" s="1"/>
      <c r="B8" s="2" t="s">
        <v>43</v>
      </c>
      <c r="C8" s="3">
        <v>10543</v>
      </c>
      <c r="D8" s="4">
        <v>11458</v>
      </c>
      <c r="E8" s="4">
        <v>13520</v>
      </c>
      <c r="F8" s="4">
        <v>14023</v>
      </c>
      <c r="G8" s="38">
        <v>14983</v>
      </c>
      <c r="H8" s="44">
        <v>14763.899999999994</v>
      </c>
      <c r="I8" s="5"/>
      <c r="J8" s="63">
        <f>SUM(C8,D8,E8,F8,G8,H8)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2">
      <c r="A9" s="1"/>
      <c r="B9" s="6" t="s">
        <v>37</v>
      </c>
      <c r="C9" s="7">
        <v>13855</v>
      </c>
      <c r="D9" s="8">
        <v>16052</v>
      </c>
      <c r="E9" s="8">
        <v>16797</v>
      </c>
      <c r="F9" s="8">
        <v>17582</v>
      </c>
      <c r="G9" s="39">
        <v>18216</v>
      </c>
      <c r="H9" s="44">
        <v>24898.82</v>
      </c>
      <c r="I9" s="5"/>
      <c r="J9" s="64">
        <f>SUM(C9,D9,E9,F9,G9,H9)</f>
        <v>107400.82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9" t="s">
        <v>44</v>
      </c>
      <c r="C10" s="10">
        <v>3002</v>
      </c>
      <c r="D10" s="11">
        <v>3769</v>
      </c>
      <c r="E10" s="11">
        <v>4230</v>
      </c>
      <c r="F10" s="11">
        <v>4341</v>
      </c>
      <c r="G10" s="40">
        <v>2713</v>
      </c>
      <c r="H10" s="42">
        <v>0</v>
      </c>
      <c r="I10" s="5"/>
      <c r="J10" s="65">
        <f>SUM(C10,D10,E10,F10,G10)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12" t="s">
        <v>10</v>
      </c>
      <c r="C11" s="13">
        <v>27400</v>
      </c>
      <c r="D11" s="14">
        <v>31279</v>
      </c>
      <c r="E11" s="14">
        <v>34547</v>
      </c>
      <c r="F11" s="14">
        <v>35946</v>
      </c>
      <c r="G11" s="41">
        <v>35912</v>
      </c>
      <c r="H11" s="43">
        <v>39663</v>
      </c>
      <c r="I11" s="15"/>
      <c r="J11" s="62">
        <f>SUM(J8,J9,J10)</f>
        <v>204746.72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thickBot="1" x14ac:dyDescent="0.25">
      <c r="A14" s="1"/>
      <c r="B14" s="16" t="s">
        <v>11</v>
      </c>
      <c r="C14" s="17" t="s">
        <v>12</v>
      </c>
      <c r="D14" s="18" t="s">
        <v>13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0" t="s">
        <v>14</v>
      </c>
      <c r="C15" s="58">
        <f>COUNTIF(Table_1[Temps d''achat],"&lt;4")</f>
        <v>47</v>
      </c>
      <c r="D15" s="59">
        <f>+SUMIF(Table_1[Temps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thickBot="1" x14ac:dyDescent="0.25">
      <c r="A16" s="1"/>
      <c r="B16" s="21" t="s">
        <v>15</v>
      </c>
      <c r="C16" s="60">
        <f>COUNTIF(Table_1[Temps d''achat],"&gt;9,5")</f>
        <v>91</v>
      </c>
      <c r="D16" s="61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132" t="s">
        <v>16</v>
      </c>
      <c r="C20" s="133"/>
      <c r="D20" s="133"/>
      <c r="E20" s="133"/>
      <c r="F20" s="133"/>
      <c r="G20" s="133"/>
      <c r="H20" s="133"/>
      <c r="I20" s="133"/>
      <c r="J20" s="1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132" t="s">
        <v>17</v>
      </c>
      <c r="C45" s="133"/>
      <c r="D45" s="133"/>
      <c r="E45" s="133"/>
      <c r="F45" s="133"/>
      <c r="G45" s="133"/>
      <c r="H45" s="133"/>
      <c r="I45" s="133"/>
      <c r="J45" s="13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132" t="s">
        <v>18</v>
      </c>
      <c r="C70" s="133"/>
      <c r="D70" s="133"/>
      <c r="E70" s="133"/>
      <c r="F70" s="133"/>
      <c r="G70" s="133"/>
      <c r="H70" s="133"/>
      <c r="I70" s="133"/>
      <c r="J70" s="13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132" t="s">
        <v>19</v>
      </c>
      <c r="C95" s="133"/>
      <c r="D95" s="133"/>
      <c r="E95" s="133"/>
      <c r="F95" s="133"/>
      <c r="G95" s="133"/>
      <c r="H95" s="133"/>
      <c r="I95" s="133"/>
      <c r="J95" s="13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132" t="s">
        <v>20</v>
      </c>
      <c r="C120" s="133"/>
      <c r="D120" s="133"/>
      <c r="E120" s="133"/>
      <c r="F120" s="133"/>
      <c r="G120" s="133"/>
      <c r="H120" s="133"/>
      <c r="I120" s="133"/>
      <c r="J120" s="13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honeticPr fontId="1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I1000"/>
  <sheetViews>
    <sheetView topLeftCell="B1" zoomScale="125" zoomScaleNormal="156" workbookViewId="0">
      <selection activeCell="E654" sqref="E654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5" width="10.6640625" customWidth="1"/>
    <col min="6" max="6" width="18.33203125" bestFit="1" customWidth="1"/>
    <col min="7" max="7" width="16" bestFit="1" customWidth="1"/>
    <col min="8" max="8" width="9.1640625" bestFit="1" customWidth="1"/>
    <col min="9" max="9" width="11" bestFit="1" customWidth="1"/>
    <col min="10" max="16" width="6.6640625" bestFit="1" customWidth="1"/>
    <col min="17" max="17" width="11" bestFit="1" customWidth="1"/>
    <col min="18" max="244" width="7.83203125" bestFit="1" customWidth="1"/>
    <col min="245" max="247" width="8.6640625" bestFit="1" customWidth="1"/>
    <col min="248" max="248" width="16.33203125" bestFit="1" customWidth="1"/>
    <col min="249" max="249" width="10.83203125" bestFit="1" customWidth="1"/>
    <col min="250" max="251" width="6.83203125" bestFit="1" customWidth="1"/>
    <col min="252" max="634" width="7.83203125" bestFit="1" customWidth="1"/>
    <col min="635" max="655" width="8.6640625" bestFit="1" customWidth="1"/>
    <col min="656" max="656" width="13.33203125" bestFit="1" customWidth="1"/>
    <col min="657" max="657" width="11" bestFit="1" customWidth="1"/>
  </cols>
  <sheetData>
    <row r="1" spans="1:9" x14ac:dyDescent="0.2">
      <c r="A1" s="29" t="s">
        <v>22</v>
      </c>
      <c r="B1" s="30" t="s">
        <v>23</v>
      </c>
      <c r="C1" s="31" t="s">
        <v>24</v>
      </c>
      <c r="D1" s="29" t="s">
        <v>25</v>
      </c>
    </row>
    <row r="2" spans="1:9" x14ac:dyDescent="0.2">
      <c r="A2" s="29">
        <v>16</v>
      </c>
      <c r="B2" s="30">
        <v>5.22</v>
      </c>
      <c r="C2" s="32">
        <v>48.26</v>
      </c>
      <c r="D2" s="29" t="s">
        <v>8</v>
      </c>
    </row>
    <row r="3" spans="1:9" x14ac:dyDescent="0.2">
      <c r="A3" s="29">
        <v>52</v>
      </c>
      <c r="B3" s="30">
        <v>6.17</v>
      </c>
      <c r="C3" s="32">
        <v>55.46</v>
      </c>
      <c r="D3" s="29" t="s">
        <v>8</v>
      </c>
      <c r="F3" s="33" t="s">
        <v>29</v>
      </c>
      <c r="G3" s="33" t="s">
        <v>30</v>
      </c>
      <c r="H3" s="46"/>
      <c r="I3" s="47"/>
    </row>
    <row r="4" spans="1:9" x14ac:dyDescent="0.2">
      <c r="A4" s="29">
        <v>58</v>
      </c>
      <c r="B4" s="30">
        <v>5.36</v>
      </c>
      <c r="C4" s="32">
        <v>53.2</v>
      </c>
      <c r="D4" s="29" t="s">
        <v>8</v>
      </c>
      <c r="F4" s="33" t="s">
        <v>26</v>
      </c>
      <c r="G4" s="45" t="s">
        <v>8</v>
      </c>
      <c r="H4" s="48" t="s">
        <v>9</v>
      </c>
      <c r="I4" s="34" t="s">
        <v>27</v>
      </c>
    </row>
    <row r="5" spans="1:9" x14ac:dyDescent="0.2">
      <c r="A5" s="29">
        <v>11</v>
      </c>
      <c r="B5" s="30">
        <v>5.46</v>
      </c>
      <c r="C5" s="32">
        <v>47.61</v>
      </c>
      <c r="D5" s="29" t="s">
        <v>8</v>
      </c>
      <c r="F5" s="35">
        <v>24</v>
      </c>
      <c r="G5" s="49">
        <v>631.71</v>
      </c>
      <c r="H5" s="52">
        <v>878.62000000000012</v>
      </c>
      <c r="I5" s="55">
        <v>1510.3300000000002</v>
      </c>
    </row>
    <row r="6" spans="1:9" x14ac:dyDescent="0.2">
      <c r="A6" s="29">
        <v>25</v>
      </c>
      <c r="B6" s="30">
        <v>9.77</v>
      </c>
      <c r="C6" s="32">
        <v>81.569999999999993</v>
      </c>
      <c r="D6" s="29" t="s">
        <v>8</v>
      </c>
      <c r="F6" s="36">
        <v>25</v>
      </c>
      <c r="G6" s="50">
        <v>368.74</v>
      </c>
      <c r="H6" s="53">
        <v>1028.4100000000001</v>
      </c>
      <c r="I6" s="56">
        <v>1397.15</v>
      </c>
    </row>
    <row r="7" spans="1:9" x14ac:dyDescent="0.2">
      <c r="A7" s="29">
        <v>40</v>
      </c>
      <c r="B7" s="30">
        <v>6.96</v>
      </c>
      <c r="C7" s="32">
        <v>63.5</v>
      </c>
      <c r="D7" s="29" t="s">
        <v>8</v>
      </c>
      <c r="F7" s="36">
        <v>26</v>
      </c>
      <c r="G7" s="50">
        <v>619.50999999999988</v>
      </c>
      <c r="H7" s="53">
        <v>719.24000000000012</v>
      </c>
      <c r="I7" s="56">
        <v>1338.75</v>
      </c>
    </row>
    <row r="8" spans="1:9" x14ac:dyDescent="0.2">
      <c r="A8" s="29">
        <v>8</v>
      </c>
      <c r="B8" s="30">
        <v>5.64</v>
      </c>
      <c r="C8" s="32">
        <v>46.17</v>
      </c>
      <c r="D8" s="29" t="s">
        <v>8</v>
      </c>
      <c r="F8" s="36">
        <v>36</v>
      </c>
      <c r="G8" s="50">
        <v>505.64</v>
      </c>
      <c r="H8" s="53">
        <v>729.20999999999992</v>
      </c>
      <c r="I8" s="56">
        <v>1234.8499999999999</v>
      </c>
    </row>
    <row r="9" spans="1:9" x14ac:dyDescent="0.2">
      <c r="A9" s="29">
        <v>1</v>
      </c>
      <c r="B9" s="30">
        <v>4.5599999999999996</v>
      </c>
      <c r="C9" s="32">
        <v>46.9</v>
      </c>
      <c r="D9" s="29" t="s">
        <v>8</v>
      </c>
      <c r="F9" s="36">
        <v>20</v>
      </c>
      <c r="G9" s="50">
        <v>368.8</v>
      </c>
      <c r="H9" s="53">
        <v>779.14999999999986</v>
      </c>
      <c r="I9" s="56">
        <v>1147.9499999999998</v>
      </c>
    </row>
    <row r="10" spans="1:9" x14ac:dyDescent="0.2">
      <c r="A10" s="29">
        <v>36</v>
      </c>
      <c r="B10" s="30">
        <v>5.2</v>
      </c>
      <c r="C10" s="32">
        <v>39.99</v>
      </c>
      <c r="D10" s="29" t="s">
        <v>8</v>
      </c>
      <c r="F10" s="36">
        <v>35</v>
      </c>
      <c r="G10" s="50">
        <v>482.34</v>
      </c>
      <c r="H10" s="53">
        <v>639.66</v>
      </c>
      <c r="I10" s="56">
        <v>1122</v>
      </c>
    </row>
    <row r="11" spans="1:9" x14ac:dyDescent="0.2">
      <c r="A11" s="29">
        <v>14</v>
      </c>
      <c r="B11" s="30">
        <v>6.28</v>
      </c>
      <c r="C11" s="32">
        <v>58.85</v>
      </c>
      <c r="D11" s="29" t="s">
        <v>8</v>
      </c>
      <c r="F11" s="36">
        <v>31</v>
      </c>
      <c r="G11" s="50">
        <v>589.95999999999992</v>
      </c>
      <c r="H11" s="53">
        <v>525.25</v>
      </c>
      <c r="I11" s="56">
        <v>1115.21</v>
      </c>
    </row>
    <row r="12" spans="1:9" x14ac:dyDescent="0.2">
      <c r="A12" s="29">
        <v>17</v>
      </c>
      <c r="B12" s="30">
        <v>6.06</v>
      </c>
      <c r="C12" s="32">
        <v>55.41</v>
      </c>
      <c r="D12" s="29" t="s">
        <v>8</v>
      </c>
      <c r="F12" s="36">
        <v>38</v>
      </c>
      <c r="G12" s="50">
        <v>568.76</v>
      </c>
      <c r="H12" s="53">
        <v>526.25</v>
      </c>
      <c r="I12" s="56">
        <v>1095.01</v>
      </c>
    </row>
    <row r="13" spans="1:9" x14ac:dyDescent="0.2">
      <c r="A13" s="29">
        <v>19</v>
      </c>
      <c r="B13" s="30">
        <v>6.57</v>
      </c>
      <c r="C13" s="32">
        <v>64.61</v>
      </c>
      <c r="D13" s="29" t="s">
        <v>8</v>
      </c>
      <c r="F13" s="36">
        <v>15</v>
      </c>
      <c r="G13" s="50">
        <v>190.66</v>
      </c>
      <c r="H13" s="53">
        <v>872.33999999999992</v>
      </c>
      <c r="I13" s="56">
        <v>1063</v>
      </c>
    </row>
    <row r="14" spans="1:9" x14ac:dyDescent="0.2">
      <c r="A14" s="29">
        <v>36</v>
      </c>
      <c r="B14" s="30">
        <v>4.24</v>
      </c>
      <c r="C14" s="32">
        <v>45.75</v>
      </c>
      <c r="D14" s="29" t="s">
        <v>8</v>
      </c>
      <c r="F14" s="36">
        <v>22</v>
      </c>
      <c r="G14" s="50">
        <v>291.37</v>
      </c>
      <c r="H14" s="53">
        <v>743.33</v>
      </c>
      <c r="I14" s="56">
        <v>1034.7</v>
      </c>
    </row>
    <row r="15" spans="1:9" x14ac:dyDescent="0.2">
      <c r="A15" s="29">
        <v>45</v>
      </c>
      <c r="B15" s="30">
        <v>8.7100000000000009</v>
      </c>
      <c r="C15" s="32">
        <v>73.91</v>
      </c>
      <c r="D15" s="29" t="s">
        <v>8</v>
      </c>
      <c r="F15" s="37" t="s">
        <v>27</v>
      </c>
      <c r="G15" s="51">
        <v>4617.49</v>
      </c>
      <c r="H15" s="54">
        <v>7441.4599999999991</v>
      </c>
      <c r="I15" s="57">
        <v>12058.95</v>
      </c>
    </row>
    <row r="16" spans="1:9" x14ac:dyDescent="0.2">
      <c r="A16" s="29">
        <v>3</v>
      </c>
      <c r="B16" s="30">
        <v>6.22</v>
      </c>
      <c r="C16" s="32">
        <v>51.33</v>
      </c>
      <c r="D16" s="29" t="s">
        <v>8</v>
      </c>
    </row>
    <row r="17" spans="1:7" x14ac:dyDescent="0.2">
      <c r="A17" s="29">
        <v>39</v>
      </c>
      <c r="B17" s="30">
        <v>5.47</v>
      </c>
      <c r="C17" s="32">
        <v>49.61</v>
      </c>
      <c r="D17" s="29" t="s">
        <v>8</v>
      </c>
    </row>
    <row r="18" spans="1:7" x14ac:dyDescent="0.2">
      <c r="A18" s="29">
        <v>15</v>
      </c>
      <c r="B18" s="30">
        <v>9.98</v>
      </c>
      <c r="C18" s="32">
        <v>83.73</v>
      </c>
      <c r="D18" s="29" t="s">
        <v>8</v>
      </c>
    </row>
    <row r="19" spans="1:7" x14ac:dyDescent="0.2">
      <c r="A19" s="29">
        <v>28</v>
      </c>
      <c r="B19" s="30">
        <v>5.39</v>
      </c>
      <c r="C19" s="32">
        <v>44.63</v>
      </c>
      <c r="D19" s="29" t="s">
        <v>8</v>
      </c>
    </row>
    <row r="20" spans="1:7" x14ac:dyDescent="0.2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7" ht="15.75" customHeight="1" x14ac:dyDescent="0.2">
      <c r="A21" s="29">
        <v>41</v>
      </c>
      <c r="B21" s="30">
        <v>9.23</v>
      </c>
      <c r="C21" s="32">
        <v>74.239999999999995</v>
      </c>
      <c r="D21" s="29" t="s">
        <v>8</v>
      </c>
      <c r="F21" s="33" t="s">
        <v>26</v>
      </c>
      <c r="G21" s="34" t="s">
        <v>28</v>
      </c>
    </row>
    <row r="22" spans="1:7" ht="15.75" customHeight="1" x14ac:dyDescent="0.2">
      <c r="A22" s="29">
        <v>18</v>
      </c>
      <c r="B22" s="30">
        <v>8.39</v>
      </c>
      <c r="C22" s="32">
        <v>72.72</v>
      </c>
      <c r="D22" s="29" t="s">
        <v>8</v>
      </c>
      <c r="F22" s="35" t="s">
        <v>8</v>
      </c>
      <c r="G22" s="66">
        <v>0.37223619560131022</v>
      </c>
    </row>
    <row r="23" spans="1:7" ht="15.75" customHeight="1" x14ac:dyDescent="0.2">
      <c r="A23" s="29">
        <v>23</v>
      </c>
      <c r="B23" s="30">
        <v>5.41</v>
      </c>
      <c r="C23" s="32">
        <v>44.6</v>
      </c>
      <c r="D23" s="29" t="s">
        <v>8</v>
      </c>
      <c r="F23" s="36" t="s">
        <v>9</v>
      </c>
      <c r="G23" s="67">
        <v>0.62776380439868973</v>
      </c>
    </row>
    <row r="24" spans="1:7" ht="15.75" customHeight="1" x14ac:dyDescent="0.2">
      <c r="A24" s="29">
        <v>7</v>
      </c>
      <c r="B24" s="30">
        <v>7.45</v>
      </c>
      <c r="C24" s="32">
        <v>57.16</v>
      </c>
      <c r="D24" s="29" t="s">
        <v>8</v>
      </c>
      <c r="F24" s="37" t="s">
        <v>27</v>
      </c>
      <c r="G24" s="68">
        <v>1</v>
      </c>
    </row>
    <row r="25" spans="1:7" ht="15.75" customHeight="1" x14ac:dyDescent="0.2">
      <c r="A25" s="29">
        <v>43</v>
      </c>
      <c r="B25" s="30">
        <v>5.03</v>
      </c>
      <c r="C25" s="32">
        <v>41.59</v>
      </c>
      <c r="D25" s="29" t="s">
        <v>8</v>
      </c>
    </row>
    <row r="26" spans="1:7" ht="15.75" customHeight="1" x14ac:dyDescent="0.2">
      <c r="A26" s="29">
        <v>14</v>
      </c>
      <c r="B26" s="30">
        <v>5.15</v>
      </c>
      <c r="C26" s="32">
        <v>52.61</v>
      </c>
      <c r="D26" s="29" t="s">
        <v>8</v>
      </c>
    </row>
    <row r="27" spans="1:7" ht="15.75" customHeight="1" x14ac:dyDescent="0.2">
      <c r="A27" s="29">
        <v>7</v>
      </c>
      <c r="B27" s="30">
        <v>6.43</v>
      </c>
      <c r="C27" s="32">
        <v>54.95</v>
      </c>
      <c r="D27" s="29" t="s">
        <v>8</v>
      </c>
    </row>
    <row r="28" spans="1:7" ht="15.75" customHeight="1" x14ac:dyDescent="0.2">
      <c r="A28" s="29">
        <v>39</v>
      </c>
      <c r="B28" s="30">
        <v>8.93</v>
      </c>
      <c r="C28" s="32">
        <v>72.44</v>
      </c>
      <c r="D28" s="29" t="s">
        <v>8</v>
      </c>
    </row>
    <row r="29" spans="1:7" ht="15.75" customHeight="1" x14ac:dyDescent="0.2">
      <c r="A29" s="29">
        <v>12</v>
      </c>
      <c r="B29" s="30">
        <v>8.44</v>
      </c>
      <c r="C29" s="32">
        <v>68.91</v>
      </c>
      <c r="D29" s="29" t="s">
        <v>8</v>
      </c>
    </row>
    <row r="30" spans="1:7" ht="15.75" customHeight="1" x14ac:dyDescent="0.2">
      <c r="A30" s="29">
        <v>31</v>
      </c>
      <c r="B30" s="30">
        <v>8.92</v>
      </c>
      <c r="C30" s="32">
        <v>77.150000000000006</v>
      </c>
      <c r="D30" s="29" t="s">
        <v>8</v>
      </c>
    </row>
    <row r="31" spans="1:7" ht="15.75" customHeight="1" x14ac:dyDescent="0.2">
      <c r="A31" s="29">
        <v>29</v>
      </c>
      <c r="B31" s="30">
        <v>5.47</v>
      </c>
      <c r="C31" s="32">
        <v>44.4</v>
      </c>
      <c r="D31" s="29" t="s">
        <v>8</v>
      </c>
    </row>
    <row r="32" spans="1:7" ht="15.75" customHeight="1" x14ac:dyDescent="0.2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2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2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2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2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2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2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2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2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2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2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2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2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2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2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2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2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2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2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2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2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2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2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2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2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2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2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2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2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2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2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2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2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2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2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2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2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2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2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2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2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2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2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2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2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2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2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2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2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2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2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2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2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2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2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2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2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2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2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2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2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2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2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2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2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2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2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2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2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2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2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2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2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2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2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2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2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2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2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2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2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2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2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2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2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2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2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2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2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2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2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2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2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2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2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2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2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2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2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2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2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2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2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2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2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2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2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2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2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2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2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2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2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2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2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2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2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2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2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2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2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2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2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2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2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2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2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2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2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2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2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2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2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2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2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2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2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2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2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2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2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2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2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2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2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2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2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2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2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2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2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2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2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2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2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2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2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2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2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2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2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2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2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2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2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2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2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2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2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2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2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2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2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2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2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2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2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2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2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2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2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2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2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2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2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2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2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2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2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2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2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2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2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2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2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2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2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2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2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2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2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2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2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2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2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2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2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2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2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2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2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2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2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2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2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2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2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2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2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2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2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2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2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2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2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2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2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2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2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2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2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2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2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2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2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2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2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2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2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2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2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2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2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2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2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2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2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2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2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2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2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2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2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2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2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2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2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2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2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2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2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2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2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2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2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2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2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2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2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2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2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2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2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2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2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2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2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2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2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2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2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2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2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2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2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2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2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2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2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2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2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2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2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2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2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2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2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2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2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2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2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2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2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2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2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2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2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2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2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2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2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2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2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2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2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2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2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2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2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2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2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2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2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2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2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2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2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2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2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2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2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2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2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2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2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2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2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2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2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2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2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2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2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2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2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2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2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2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2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2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2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2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2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2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2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2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2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2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2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2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2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2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2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2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2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2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2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2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2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2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2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2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2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2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2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2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2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2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2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2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2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2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2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2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2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2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2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2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2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2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2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2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2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2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2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2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2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2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2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2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2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2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2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2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2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2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2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2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2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2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2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2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2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2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2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2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2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2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2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2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2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2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2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2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2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2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2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2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2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2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2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2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2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2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2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2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2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2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2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2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2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2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2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2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2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2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2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2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2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2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2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2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2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2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2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2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2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2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2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2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2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2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2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2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2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2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2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2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2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2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2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2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2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2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2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2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2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2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2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2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2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2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2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2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2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2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2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2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2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2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2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2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2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2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2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2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2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2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2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2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2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2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2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2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2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2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2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2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2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2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2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2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2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2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2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2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2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2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2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2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2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2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2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2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2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2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2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2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2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2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2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2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2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2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2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2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2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2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2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2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2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2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2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2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2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2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2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2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2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2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2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2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2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2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2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2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2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2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2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2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2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2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2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2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2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2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2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2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2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2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2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2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2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2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2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2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2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2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2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2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2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2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2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2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2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2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2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2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2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2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2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2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2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2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2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2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2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2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2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2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2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2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2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2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2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2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2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2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2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2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2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2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2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2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2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2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2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2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2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2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2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2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2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2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2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2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2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2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2">
      <c r="A662" s="29"/>
      <c r="B662" s="29"/>
      <c r="C662" s="29"/>
      <c r="D662" s="29"/>
    </row>
    <row r="663" spans="1:4" ht="15.75" customHeight="1" x14ac:dyDescent="0.2">
      <c r="A663" s="29"/>
      <c r="B663" s="29"/>
      <c r="C663" s="29"/>
      <c r="D663" s="29"/>
    </row>
    <row r="664" spans="1:4" ht="15.75" customHeight="1" x14ac:dyDescent="0.2">
      <c r="A664" s="29"/>
      <c r="B664" s="29"/>
      <c r="C664" s="29"/>
      <c r="D664" s="29"/>
    </row>
    <row r="665" spans="1:4" ht="15.75" customHeight="1" x14ac:dyDescent="0.2">
      <c r="A665" s="29"/>
      <c r="B665" s="29"/>
      <c r="C665" s="29"/>
      <c r="D665" s="29"/>
    </row>
    <row r="666" spans="1:4" ht="15.75" customHeight="1" x14ac:dyDescent="0.2">
      <c r="A666" s="29"/>
      <c r="B666" s="29"/>
      <c r="C666" s="29"/>
      <c r="D666" s="29"/>
    </row>
    <row r="667" spans="1:4" ht="15.75" customHeight="1" x14ac:dyDescent="0.2">
      <c r="A667" s="29"/>
      <c r="B667" s="29"/>
      <c r="C667" s="29"/>
      <c r="D667" s="29"/>
    </row>
    <row r="668" spans="1:4" ht="15.75" customHeight="1" x14ac:dyDescent="0.2">
      <c r="A668" s="29"/>
      <c r="B668" s="29"/>
      <c r="C668" s="29"/>
      <c r="D668" s="29"/>
    </row>
    <row r="669" spans="1:4" ht="15.75" customHeight="1" x14ac:dyDescent="0.2">
      <c r="A669" s="29"/>
      <c r="B669" s="29"/>
      <c r="C669" s="29"/>
      <c r="D669" s="29"/>
    </row>
    <row r="670" spans="1:4" ht="15.75" customHeight="1" x14ac:dyDescent="0.2">
      <c r="A670" s="29"/>
      <c r="B670" s="29"/>
      <c r="C670" s="29"/>
      <c r="D670" s="29"/>
    </row>
    <row r="671" spans="1:4" ht="15.75" customHeight="1" x14ac:dyDescent="0.2">
      <c r="A671" s="29"/>
      <c r="B671" s="29"/>
      <c r="C671" s="29"/>
      <c r="D671" s="29"/>
    </row>
    <row r="672" spans="1:4" ht="15.75" customHeight="1" x14ac:dyDescent="0.2">
      <c r="A672" s="29"/>
      <c r="B672" s="29"/>
      <c r="C672" s="29"/>
      <c r="D672" s="29"/>
    </row>
    <row r="673" spans="1:4" ht="15.75" customHeight="1" x14ac:dyDescent="0.2">
      <c r="A673" s="29"/>
      <c r="B673" s="29"/>
      <c r="C673" s="29"/>
      <c r="D673" s="29"/>
    </row>
    <row r="674" spans="1:4" ht="15.75" customHeight="1" x14ac:dyDescent="0.2">
      <c r="A674" s="29"/>
      <c r="B674" s="29"/>
      <c r="C674" s="29"/>
      <c r="D674" s="29"/>
    </row>
    <row r="675" spans="1:4" ht="15.75" customHeight="1" x14ac:dyDescent="0.2">
      <c r="A675" s="29"/>
      <c r="B675" s="29"/>
      <c r="C675" s="29"/>
      <c r="D675" s="29"/>
    </row>
    <row r="676" spans="1:4" ht="15.75" customHeight="1" x14ac:dyDescent="0.2">
      <c r="A676" s="29"/>
      <c r="B676" s="29"/>
      <c r="C676" s="29"/>
      <c r="D676" s="29"/>
    </row>
    <row r="677" spans="1:4" ht="15.75" customHeight="1" x14ac:dyDescent="0.2">
      <c r="A677" s="29"/>
      <c r="B677" s="29"/>
      <c r="C677" s="29"/>
      <c r="D677" s="29"/>
    </row>
    <row r="678" spans="1:4" ht="15.75" customHeight="1" x14ac:dyDescent="0.2">
      <c r="A678" s="29"/>
      <c r="B678" s="29"/>
      <c r="C678" s="29"/>
      <c r="D678" s="29"/>
    </row>
    <row r="679" spans="1:4" ht="15.75" customHeight="1" x14ac:dyDescent="0.2">
      <c r="A679" s="29"/>
      <c r="B679" s="29"/>
      <c r="C679" s="29"/>
      <c r="D679" s="29"/>
    </row>
    <row r="680" spans="1:4" ht="15.75" customHeight="1" x14ac:dyDescent="0.2">
      <c r="A680" s="29"/>
      <c r="B680" s="29"/>
      <c r="C680" s="29"/>
      <c r="D680" s="29"/>
    </row>
    <row r="681" spans="1:4" ht="15.75" customHeight="1" x14ac:dyDescent="0.2">
      <c r="A681" s="29"/>
      <c r="B681" s="29"/>
      <c r="C681" s="29"/>
      <c r="D681" s="29"/>
    </row>
    <row r="682" spans="1:4" ht="15.75" customHeight="1" x14ac:dyDescent="0.2">
      <c r="A682" s="29"/>
      <c r="B682" s="29"/>
      <c r="C682" s="29"/>
      <c r="D682" s="29"/>
    </row>
    <row r="683" spans="1:4" ht="15.75" customHeight="1" x14ac:dyDescent="0.2">
      <c r="A683" s="29"/>
      <c r="B683" s="29"/>
      <c r="C683" s="29"/>
      <c r="D683" s="29"/>
    </row>
    <row r="684" spans="1:4" ht="15.75" customHeight="1" x14ac:dyDescent="0.2">
      <c r="A684" s="29"/>
      <c r="B684" s="29"/>
      <c r="C684" s="29"/>
      <c r="D684" s="29"/>
    </row>
    <row r="685" spans="1:4" ht="15.75" customHeight="1" x14ac:dyDescent="0.2">
      <c r="A685" s="29"/>
      <c r="B685" s="29"/>
      <c r="C685" s="29"/>
      <c r="D685" s="29"/>
    </row>
    <row r="686" spans="1:4" ht="15.75" customHeight="1" x14ac:dyDescent="0.2">
      <c r="A686" s="29"/>
      <c r="B686" s="29"/>
      <c r="C686" s="29"/>
      <c r="D686" s="29"/>
    </row>
    <row r="687" spans="1:4" ht="15.75" customHeight="1" x14ac:dyDescent="0.2">
      <c r="A687" s="29"/>
      <c r="B687" s="29"/>
      <c r="C687" s="29"/>
      <c r="D687" s="29"/>
    </row>
    <row r="688" spans="1:4" ht="15.75" customHeight="1" x14ac:dyDescent="0.2">
      <c r="A688" s="29"/>
      <c r="B688" s="29"/>
      <c r="C688" s="29"/>
      <c r="D688" s="29"/>
    </row>
    <row r="689" spans="1:4" ht="15.75" customHeight="1" x14ac:dyDescent="0.2">
      <c r="A689" s="29"/>
      <c r="B689" s="29"/>
      <c r="C689" s="29"/>
      <c r="D689" s="29"/>
    </row>
    <row r="690" spans="1:4" ht="15.75" customHeight="1" x14ac:dyDescent="0.2">
      <c r="A690" s="29"/>
      <c r="B690" s="29"/>
      <c r="C690" s="29"/>
      <c r="D690" s="29"/>
    </row>
    <row r="691" spans="1:4" ht="15.75" customHeight="1" x14ac:dyDescent="0.2">
      <c r="A691" s="29"/>
      <c r="B691" s="29"/>
      <c r="C691" s="29"/>
      <c r="D691" s="29"/>
    </row>
    <row r="692" spans="1:4" ht="15.75" customHeight="1" x14ac:dyDescent="0.2">
      <c r="A692" s="29"/>
      <c r="B692" s="29"/>
      <c r="C692" s="29"/>
      <c r="D692" s="29"/>
    </row>
    <row r="693" spans="1:4" ht="15.75" customHeight="1" x14ac:dyDescent="0.2">
      <c r="A693" s="29"/>
      <c r="B693" s="29"/>
      <c r="C693" s="29"/>
      <c r="D693" s="29"/>
    </row>
    <row r="694" spans="1:4" ht="15.75" customHeight="1" x14ac:dyDescent="0.2">
      <c r="A694" s="29"/>
      <c r="B694" s="29"/>
      <c r="C694" s="29"/>
      <c r="D694" s="29"/>
    </row>
    <row r="695" spans="1:4" ht="15.75" customHeight="1" x14ac:dyDescent="0.2">
      <c r="A695" s="29"/>
      <c r="B695" s="29"/>
      <c r="C695" s="29"/>
      <c r="D695" s="29"/>
    </row>
    <row r="696" spans="1:4" ht="15.75" customHeight="1" x14ac:dyDescent="0.2">
      <c r="A696" s="29"/>
      <c r="B696" s="29"/>
      <c r="C696" s="29"/>
      <c r="D696" s="29"/>
    </row>
    <row r="697" spans="1:4" ht="15.75" customHeight="1" x14ac:dyDescent="0.2">
      <c r="A697" s="29"/>
      <c r="B697" s="29"/>
      <c r="C697" s="29"/>
      <c r="D697" s="29"/>
    </row>
    <row r="698" spans="1:4" ht="15.75" customHeight="1" x14ac:dyDescent="0.2">
      <c r="A698" s="29"/>
      <c r="B698" s="29"/>
      <c r="C698" s="29"/>
      <c r="D698" s="29"/>
    </row>
    <row r="699" spans="1:4" ht="15.75" customHeight="1" x14ac:dyDescent="0.2">
      <c r="A699" s="29"/>
      <c r="B699" s="29"/>
      <c r="C699" s="29"/>
      <c r="D699" s="29"/>
    </row>
    <row r="700" spans="1:4" ht="15.75" customHeight="1" x14ac:dyDescent="0.2">
      <c r="A700" s="29"/>
      <c r="B700" s="29"/>
      <c r="C700" s="29"/>
      <c r="D700" s="29"/>
    </row>
    <row r="701" spans="1:4" ht="15.75" customHeight="1" x14ac:dyDescent="0.2">
      <c r="A701" s="29"/>
      <c r="B701" s="29"/>
      <c r="C701" s="29"/>
      <c r="D701" s="29"/>
    </row>
    <row r="702" spans="1:4" ht="15.75" customHeight="1" x14ac:dyDescent="0.2">
      <c r="A702" s="29"/>
      <c r="B702" s="29"/>
      <c r="C702" s="29"/>
      <c r="D702" s="29"/>
    </row>
    <row r="703" spans="1:4" ht="15.75" customHeight="1" x14ac:dyDescent="0.2">
      <c r="A703" s="29"/>
      <c r="B703" s="29"/>
      <c r="C703" s="29"/>
      <c r="D703" s="29"/>
    </row>
    <row r="704" spans="1:4" ht="15.75" customHeight="1" x14ac:dyDescent="0.2">
      <c r="A704" s="29"/>
      <c r="B704" s="29"/>
      <c r="C704" s="29"/>
      <c r="D704" s="29"/>
    </row>
    <row r="705" spans="1:4" ht="15.75" customHeight="1" x14ac:dyDescent="0.2">
      <c r="A705" s="29"/>
      <c r="B705" s="29"/>
      <c r="C705" s="29"/>
      <c r="D705" s="29"/>
    </row>
    <row r="706" spans="1:4" ht="15.75" customHeight="1" x14ac:dyDescent="0.2">
      <c r="A706" s="29"/>
      <c r="B706" s="29"/>
      <c r="C706" s="29"/>
      <c r="D706" s="29"/>
    </row>
    <row r="707" spans="1:4" ht="15.75" customHeight="1" x14ac:dyDescent="0.2">
      <c r="A707" s="29"/>
      <c r="B707" s="29"/>
      <c r="C707" s="29"/>
      <c r="D707" s="29"/>
    </row>
    <row r="708" spans="1:4" ht="15.75" customHeight="1" x14ac:dyDescent="0.2">
      <c r="A708" s="29"/>
      <c r="B708" s="29"/>
      <c r="C708" s="29"/>
      <c r="D708" s="29"/>
    </row>
    <row r="709" spans="1:4" ht="15.75" customHeight="1" x14ac:dyDescent="0.2">
      <c r="A709" s="29"/>
      <c r="B709" s="29"/>
      <c r="C709" s="29"/>
      <c r="D709" s="29"/>
    </row>
    <row r="710" spans="1:4" ht="15.75" customHeight="1" x14ac:dyDescent="0.2">
      <c r="A710" s="29"/>
      <c r="B710" s="29"/>
      <c r="C710" s="29"/>
      <c r="D710" s="29"/>
    </row>
    <row r="711" spans="1:4" ht="15.75" customHeight="1" x14ac:dyDescent="0.2">
      <c r="A711" s="29"/>
      <c r="B711" s="29"/>
      <c r="C711" s="29"/>
      <c r="D711" s="29"/>
    </row>
    <row r="712" spans="1:4" ht="15.75" customHeight="1" x14ac:dyDescent="0.2">
      <c r="A712" s="29"/>
      <c r="B712" s="29"/>
      <c r="C712" s="29"/>
      <c r="D712" s="29"/>
    </row>
    <row r="713" spans="1:4" ht="15.75" customHeight="1" x14ac:dyDescent="0.2">
      <c r="A713" s="29"/>
      <c r="B713" s="29"/>
      <c r="C713" s="29"/>
      <c r="D713" s="29"/>
    </row>
    <row r="714" spans="1:4" ht="15.75" customHeight="1" x14ac:dyDescent="0.2">
      <c r="A714" s="29"/>
      <c r="B714" s="29"/>
      <c r="C714" s="29"/>
      <c r="D714" s="29"/>
    </row>
    <row r="715" spans="1:4" ht="15.75" customHeight="1" x14ac:dyDescent="0.2">
      <c r="A715" s="29"/>
      <c r="B715" s="29"/>
      <c r="C715" s="29"/>
      <c r="D715" s="29"/>
    </row>
    <row r="716" spans="1:4" ht="15.75" customHeight="1" x14ac:dyDescent="0.2">
      <c r="A716" s="29"/>
      <c r="B716" s="29"/>
      <c r="C716" s="29"/>
      <c r="D716" s="29"/>
    </row>
    <row r="717" spans="1:4" ht="15.75" customHeight="1" x14ac:dyDescent="0.2">
      <c r="A717" s="29"/>
      <c r="B717" s="29"/>
      <c r="C717" s="29"/>
      <c r="D717" s="29"/>
    </row>
    <row r="718" spans="1:4" ht="15.75" customHeight="1" x14ac:dyDescent="0.2">
      <c r="A718" s="29"/>
      <c r="B718" s="29"/>
      <c r="C718" s="29"/>
      <c r="D718" s="29"/>
    </row>
    <row r="719" spans="1:4" ht="15.75" customHeight="1" x14ac:dyDescent="0.2">
      <c r="A719" s="29"/>
      <c r="B719" s="29"/>
      <c r="C719" s="29"/>
      <c r="D719" s="29"/>
    </row>
    <row r="720" spans="1:4" ht="15.75" customHeight="1" x14ac:dyDescent="0.2">
      <c r="A720" s="29"/>
      <c r="B720" s="29"/>
      <c r="C720" s="29"/>
      <c r="D720" s="29"/>
    </row>
    <row r="721" spans="1:4" ht="15.75" customHeight="1" x14ac:dyDescent="0.2">
      <c r="A721" s="29"/>
      <c r="B721" s="29"/>
      <c r="C721" s="29"/>
      <c r="D721" s="29"/>
    </row>
    <row r="722" spans="1:4" ht="15.75" customHeight="1" x14ac:dyDescent="0.2">
      <c r="A722" s="29"/>
      <c r="B722" s="29"/>
      <c r="C722" s="29"/>
      <c r="D722" s="29"/>
    </row>
    <row r="723" spans="1:4" ht="15.75" customHeight="1" x14ac:dyDescent="0.2">
      <c r="A723" s="29"/>
      <c r="B723" s="29"/>
      <c r="C723" s="29"/>
      <c r="D723" s="29"/>
    </row>
    <row r="724" spans="1:4" ht="15.75" customHeight="1" x14ac:dyDescent="0.2">
      <c r="A724" s="29"/>
      <c r="B724" s="29"/>
      <c r="C724" s="29"/>
      <c r="D724" s="29"/>
    </row>
    <row r="725" spans="1:4" ht="15.75" customHeight="1" x14ac:dyDescent="0.2">
      <c r="A725" s="29"/>
      <c r="B725" s="29"/>
      <c r="C725" s="29"/>
      <c r="D725" s="29"/>
    </row>
    <row r="726" spans="1:4" ht="15.75" customHeight="1" x14ac:dyDescent="0.2">
      <c r="A726" s="29"/>
      <c r="B726" s="29"/>
      <c r="C726" s="29"/>
      <c r="D726" s="29"/>
    </row>
    <row r="727" spans="1:4" ht="15.75" customHeight="1" x14ac:dyDescent="0.2">
      <c r="A727" s="29"/>
      <c r="B727" s="29"/>
      <c r="C727" s="29"/>
      <c r="D727" s="29"/>
    </row>
    <row r="728" spans="1:4" ht="15.75" customHeight="1" x14ac:dyDescent="0.2">
      <c r="A728" s="29"/>
      <c r="B728" s="29"/>
      <c r="C728" s="29"/>
      <c r="D728" s="29"/>
    </row>
    <row r="729" spans="1:4" ht="15.75" customHeight="1" x14ac:dyDescent="0.2">
      <c r="A729" s="29"/>
      <c r="B729" s="29"/>
      <c r="C729" s="29"/>
      <c r="D729" s="29"/>
    </row>
    <row r="730" spans="1:4" ht="15.75" customHeight="1" x14ac:dyDescent="0.2">
      <c r="A730" s="29"/>
      <c r="B730" s="29"/>
      <c r="C730" s="29"/>
      <c r="D730" s="29"/>
    </row>
    <row r="731" spans="1:4" ht="15.75" customHeight="1" x14ac:dyDescent="0.2">
      <c r="A731" s="29"/>
      <c r="B731" s="29"/>
      <c r="C731" s="29"/>
      <c r="D731" s="29"/>
    </row>
    <row r="732" spans="1:4" ht="15.75" customHeight="1" x14ac:dyDescent="0.2">
      <c r="A732" s="29"/>
      <c r="B732" s="29"/>
      <c r="C732" s="29"/>
      <c r="D732" s="29"/>
    </row>
    <row r="733" spans="1:4" ht="15.75" customHeight="1" x14ac:dyDescent="0.2">
      <c r="A733" s="29"/>
      <c r="B733" s="29"/>
      <c r="C733" s="29"/>
      <c r="D733" s="29"/>
    </row>
    <row r="734" spans="1:4" ht="15.75" customHeight="1" x14ac:dyDescent="0.2">
      <c r="A734" s="29"/>
      <c r="B734" s="29"/>
      <c r="C734" s="29"/>
      <c r="D734" s="29"/>
    </row>
    <row r="735" spans="1:4" ht="15.75" customHeight="1" x14ac:dyDescent="0.2">
      <c r="A735" s="29"/>
      <c r="B735" s="29"/>
      <c r="C735" s="29"/>
      <c r="D735" s="29"/>
    </row>
    <row r="736" spans="1:4" ht="15.75" customHeight="1" x14ac:dyDescent="0.2">
      <c r="A736" s="29"/>
      <c r="B736" s="29"/>
      <c r="C736" s="29"/>
      <c r="D736" s="29"/>
    </row>
    <row r="737" spans="1:4" ht="15.75" customHeight="1" x14ac:dyDescent="0.2">
      <c r="A737" s="29"/>
      <c r="B737" s="29"/>
      <c r="C737" s="29"/>
      <c r="D737" s="29"/>
    </row>
    <row r="738" spans="1:4" ht="15.75" customHeight="1" x14ac:dyDescent="0.2">
      <c r="A738" s="29"/>
      <c r="B738" s="29"/>
      <c r="C738" s="29"/>
      <c r="D738" s="29"/>
    </row>
    <row r="739" spans="1:4" ht="15.75" customHeight="1" x14ac:dyDescent="0.2">
      <c r="A739" s="29"/>
      <c r="B739" s="29"/>
      <c r="C739" s="29"/>
      <c r="D739" s="29"/>
    </row>
    <row r="740" spans="1:4" ht="15.75" customHeight="1" x14ac:dyDescent="0.2">
      <c r="A740" s="29"/>
      <c r="B740" s="29"/>
      <c r="C740" s="29"/>
      <c r="D740" s="29"/>
    </row>
    <row r="741" spans="1:4" ht="15.75" customHeight="1" x14ac:dyDescent="0.2">
      <c r="A741" s="29"/>
      <c r="B741" s="29"/>
      <c r="C741" s="29"/>
      <c r="D741" s="29"/>
    </row>
    <row r="742" spans="1:4" ht="15.75" customHeight="1" x14ac:dyDescent="0.2">
      <c r="A742" s="29"/>
      <c r="B742" s="29"/>
      <c r="C742" s="29"/>
      <c r="D742" s="29"/>
    </row>
    <row r="743" spans="1:4" ht="15.75" customHeight="1" x14ac:dyDescent="0.2">
      <c r="A743" s="29"/>
      <c r="B743" s="29"/>
      <c r="C743" s="29"/>
      <c r="D743" s="29"/>
    </row>
    <row r="744" spans="1:4" ht="15.75" customHeight="1" x14ac:dyDescent="0.2">
      <c r="A744" s="29"/>
      <c r="B744" s="29"/>
      <c r="C744" s="29"/>
      <c r="D744" s="29"/>
    </row>
    <row r="745" spans="1:4" ht="15.75" customHeight="1" x14ac:dyDescent="0.2">
      <c r="A745" s="29"/>
      <c r="B745" s="29"/>
      <c r="C745" s="29"/>
      <c r="D745" s="29"/>
    </row>
    <row r="746" spans="1:4" ht="15.75" customHeight="1" x14ac:dyDescent="0.2">
      <c r="A746" s="29"/>
      <c r="B746" s="29"/>
      <c r="C746" s="29"/>
      <c r="D746" s="29"/>
    </row>
    <row r="747" spans="1:4" ht="15.75" customHeight="1" x14ac:dyDescent="0.2">
      <c r="A747" s="29"/>
      <c r="B747" s="29"/>
      <c r="C747" s="29"/>
      <c r="D747" s="29"/>
    </row>
    <row r="748" spans="1:4" ht="15.75" customHeight="1" x14ac:dyDescent="0.2">
      <c r="A748" s="29"/>
      <c r="B748" s="29"/>
      <c r="C748" s="29"/>
      <c r="D748" s="29"/>
    </row>
    <row r="749" spans="1:4" ht="15.75" customHeight="1" x14ac:dyDescent="0.2">
      <c r="A749" s="29"/>
      <c r="B749" s="29"/>
      <c r="C749" s="29"/>
      <c r="D749" s="29"/>
    </row>
    <row r="750" spans="1:4" ht="15.75" customHeight="1" x14ac:dyDescent="0.2">
      <c r="A750" s="29"/>
      <c r="B750" s="29"/>
      <c r="C750" s="29"/>
      <c r="D750" s="29"/>
    </row>
    <row r="751" spans="1:4" ht="15.75" customHeight="1" x14ac:dyDescent="0.2">
      <c r="A751" s="29"/>
      <c r="B751" s="29"/>
      <c r="C751" s="29"/>
      <c r="D751" s="29"/>
    </row>
    <row r="752" spans="1:4" ht="15.75" customHeight="1" x14ac:dyDescent="0.2">
      <c r="A752" s="29"/>
      <c r="B752" s="29"/>
      <c r="C752" s="29"/>
      <c r="D752" s="29"/>
    </row>
    <row r="753" spans="1:4" ht="15.75" customHeight="1" x14ac:dyDescent="0.2">
      <c r="A753" s="29"/>
      <c r="B753" s="29"/>
      <c r="C753" s="29"/>
      <c r="D753" s="29"/>
    </row>
    <row r="754" spans="1:4" ht="15.75" customHeight="1" x14ac:dyDescent="0.2">
      <c r="A754" s="29"/>
      <c r="B754" s="29"/>
      <c r="C754" s="29"/>
      <c r="D754" s="29"/>
    </row>
    <row r="755" spans="1:4" ht="15.75" customHeight="1" x14ac:dyDescent="0.2">
      <c r="A755" s="29"/>
      <c r="B755" s="29"/>
      <c r="C755" s="29"/>
      <c r="D755" s="29"/>
    </row>
    <row r="756" spans="1:4" ht="15.75" customHeight="1" x14ac:dyDescent="0.2">
      <c r="A756" s="29"/>
      <c r="B756" s="29"/>
      <c r="C756" s="29"/>
      <c r="D756" s="29"/>
    </row>
    <row r="757" spans="1:4" ht="15.75" customHeight="1" x14ac:dyDescent="0.2">
      <c r="A757" s="29"/>
      <c r="B757" s="29"/>
      <c r="C757" s="29"/>
      <c r="D757" s="29"/>
    </row>
    <row r="758" spans="1:4" ht="15.75" customHeight="1" x14ac:dyDescent="0.2">
      <c r="A758" s="29"/>
      <c r="B758" s="29"/>
      <c r="C758" s="29"/>
      <c r="D758" s="29"/>
    </row>
    <row r="759" spans="1:4" ht="15.75" customHeight="1" x14ac:dyDescent="0.2">
      <c r="A759" s="29"/>
      <c r="B759" s="29"/>
      <c r="C759" s="29"/>
      <c r="D759" s="29"/>
    </row>
    <row r="760" spans="1:4" ht="15.75" customHeight="1" x14ac:dyDescent="0.2">
      <c r="A760" s="29"/>
      <c r="B760" s="29"/>
      <c r="C760" s="29"/>
      <c r="D760" s="29"/>
    </row>
    <row r="761" spans="1:4" ht="15.75" customHeight="1" x14ac:dyDescent="0.2">
      <c r="A761" s="29"/>
      <c r="B761" s="29"/>
      <c r="C761" s="29"/>
      <c r="D761" s="29"/>
    </row>
    <row r="762" spans="1:4" ht="15.75" customHeight="1" x14ac:dyDescent="0.2">
      <c r="A762" s="29"/>
      <c r="B762" s="29"/>
      <c r="C762" s="29"/>
      <c r="D762" s="29"/>
    </row>
    <row r="763" spans="1:4" ht="15.75" customHeight="1" x14ac:dyDescent="0.2">
      <c r="A763" s="29"/>
      <c r="B763" s="29"/>
      <c r="C763" s="29"/>
      <c r="D763" s="29"/>
    </row>
    <row r="764" spans="1:4" ht="15.75" customHeight="1" x14ac:dyDescent="0.2">
      <c r="A764" s="29"/>
      <c r="B764" s="29"/>
      <c r="C764" s="29"/>
      <c r="D764" s="29"/>
    </row>
    <row r="765" spans="1:4" ht="15.75" customHeight="1" x14ac:dyDescent="0.2">
      <c r="A765" s="29"/>
      <c r="B765" s="29"/>
      <c r="C765" s="29"/>
      <c r="D765" s="29"/>
    </row>
    <row r="766" spans="1:4" ht="15.75" customHeight="1" x14ac:dyDescent="0.2">
      <c r="A766" s="29"/>
      <c r="B766" s="29"/>
      <c r="C766" s="29"/>
      <c r="D766" s="29"/>
    </row>
    <row r="767" spans="1:4" ht="15.75" customHeight="1" x14ac:dyDescent="0.2">
      <c r="A767" s="29"/>
      <c r="B767" s="29"/>
      <c r="C767" s="29"/>
      <c r="D767" s="29"/>
    </row>
    <row r="768" spans="1:4" ht="15.75" customHeight="1" x14ac:dyDescent="0.2">
      <c r="A768" s="29"/>
      <c r="B768" s="29"/>
      <c r="C768" s="29"/>
      <c r="D768" s="29"/>
    </row>
    <row r="769" spans="1:4" ht="15.75" customHeight="1" x14ac:dyDescent="0.2">
      <c r="A769" s="29"/>
      <c r="B769" s="29"/>
      <c r="C769" s="29"/>
      <c r="D769" s="29"/>
    </row>
    <row r="770" spans="1:4" ht="15.75" customHeight="1" x14ac:dyDescent="0.2">
      <c r="A770" s="29"/>
      <c r="B770" s="29"/>
      <c r="C770" s="29"/>
      <c r="D770" s="29"/>
    </row>
    <row r="771" spans="1:4" ht="15.75" customHeight="1" x14ac:dyDescent="0.2">
      <c r="A771" s="29"/>
      <c r="B771" s="29"/>
      <c r="C771" s="29"/>
      <c r="D771" s="29"/>
    </row>
    <row r="772" spans="1:4" ht="15.75" customHeight="1" x14ac:dyDescent="0.2">
      <c r="A772" s="29"/>
      <c r="B772" s="29"/>
      <c r="C772" s="29"/>
      <c r="D772" s="29"/>
    </row>
    <row r="773" spans="1:4" ht="15.75" customHeight="1" x14ac:dyDescent="0.2">
      <c r="A773" s="29"/>
      <c r="B773" s="29"/>
      <c r="C773" s="29"/>
      <c r="D773" s="29"/>
    </row>
    <row r="774" spans="1:4" ht="15.75" customHeight="1" x14ac:dyDescent="0.2">
      <c r="A774" s="29"/>
      <c r="B774" s="29"/>
      <c r="C774" s="29"/>
      <c r="D774" s="29"/>
    </row>
    <row r="775" spans="1:4" ht="15.75" customHeight="1" x14ac:dyDescent="0.2">
      <c r="A775" s="29"/>
      <c r="B775" s="29"/>
      <c r="C775" s="29"/>
      <c r="D775" s="29"/>
    </row>
    <row r="776" spans="1:4" ht="15.75" customHeight="1" x14ac:dyDescent="0.2">
      <c r="A776" s="29"/>
      <c r="B776" s="29"/>
      <c r="C776" s="29"/>
      <c r="D776" s="29"/>
    </row>
    <row r="777" spans="1:4" ht="15.75" customHeight="1" x14ac:dyDescent="0.2">
      <c r="A777" s="29"/>
      <c r="B777" s="29"/>
      <c r="C777" s="29"/>
      <c r="D777" s="29"/>
    </row>
    <row r="778" spans="1:4" ht="15.75" customHeight="1" x14ac:dyDescent="0.2">
      <c r="A778" s="29"/>
      <c r="B778" s="29"/>
      <c r="C778" s="29"/>
      <c r="D778" s="29"/>
    </row>
    <row r="779" spans="1:4" ht="15.75" customHeight="1" x14ac:dyDescent="0.2">
      <c r="A779" s="29"/>
      <c r="B779" s="29"/>
      <c r="C779" s="29"/>
      <c r="D779" s="29"/>
    </row>
    <row r="780" spans="1:4" ht="15.75" customHeight="1" x14ac:dyDescent="0.2">
      <c r="A780" s="29"/>
      <c r="B780" s="29"/>
      <c r="C780" s="29"/>
      <c r="D780" s="29"/>
    </row>
    <row r="781" spans="1:4" ht="15.75" customHeight="1" x14ac:dyDescent="0.2">
      <c r="A781" s="29"/>
      <c r="B781" s="29"/>
      <c r="C781" s="29"/>
      <c r="D781" s="29"/>
    </row>
    <row r="782" spans="1:4" ht="15.75" customHeight="1" x14ac:dyDescent="0.2">
      <c r="A782" s="29"/>
      <c r="B782" s="29"/>
      <c r="C782" s="29"/>
      <c r="D782" s="29"/>
    </row>
    <row r="783" spans="1:4" ht="15.75" customHeight="1" x14ac:dyDescent="0.2">
      <c r="A783" s="29"/>
      <c r="B783" s="29"/>
      <c r="C783" s="29"/>
      <c r="D783" s="29"/>
    </row>
    <row r="784" spans="1:4" ht="15.75" customHeight="1" x14ac:dyDescent="0.2">
      <c r="A784" s="29"/>
      <c r="B784" s="29"/>
      <c r="C784" s="29"/>
      <c r="D784" s="29"/>
    </row>
    <row r="785" spans="1:4" ht="15.75" customHeight="1" x14ac:dyDescent="0.2">
      <c r="A785" s="29"/>
      <c r="B785" s="29"/>
      <c r="C785" s="29"/>
      <c r="D785" s="29"/>
    </row>
    <row r="786" spans="1:4" ht="15.75" customHeight="1" x14ac:dyDescent="0.2">
      <c r="A786" s="29"/>
      <c r="B786" s="29"/>
      <c r="C786" s="29"/>
      <c r="D786" s="29"/>
    </row>
    <row r="787" spans="1:4" ht="15.75" customHeight="1" x14ac:dyDescent="0.2">
      <c r="A787" s="29"/>
      <c r="B787" s="29"/>
      <c r="C787" s="29"/>
      <c r="D787" s="29"/>
    </row>
    <row r="788" spans="1:4" ht="15.75" customHeight="1" x14ac:dyDescent="0.2">
      <c r="A788" s="29"/>
      <c r="B788" s="29"/>
      <c r="C788" s="29"/>
      <c r="D788" s="29"/>
    </row>
    <row r="789" spans="1:4" ht="15.75" customHeight="1" x14ac:dyDescent="0.2">
      <c r="A789" s="29"/>
      <c r="B789" s="29"/>
      <c r="C789" s="29"/>
      <c r="D789" s="29"/>
    </row>
    <row r="790" spans="1:4" ht="15.75" customHeight="1" x14ac:dyDescent="0.2">
      <c r="A790" s="29"/>
      <c r="B790" s="29"/>
      <c r="C790" s="29"/>
      <c r="D790" s="29"/>
    </row>
    <row r="791" spans="1:4" ht="15.75" customHeight="1" x14ac:dyDescent="0.2">
      <c r="A791" s="29"/>
      <c r="B791" s="29"/>
      <c r="C791" s="29"/>
      <c r="D791" s="29"/>
    </row>
    <row r="792" spans="1:4" ht="15.75" customHeight="1" x14ac:dyDescent="0.2">
      <c r="A792" s="29"/>
      <c r="B792" s="29"/>
      <c r="C792" s="29"/>
      <c r="D792" s="29"/>
    </row>
    <row r="793" spans="1:4" ht="15.75" customHeight="1" x14ac:dyDescent="0.2">
      <c r="A793" s="29"/>
      <c r="B793" s="29"/>
      <c r="C793" s="29"/>
      <c r="D793" s="29"/>
    </row>
    <row r="794" spans="1:4" ht="15.75" customHeight="1" x14ac:dyDescent="0.2">
      <c r="A794" s="29"/>
      <c r="B794" s="29"/>
      <c r="C794" s="29"/>
      <c r="D794" s="29"/>
    </row>
    <row r="795" spans="1:4" ht="15.75" customHeight="1" x14ac:dyDescent="0.2">
      <c r="A795" s="29"/>
      <c r="B795" s="29"/>
      <c r="C795" s="29"/>
      <c r="D795" s="29"/>
    </row>
    <row r="796" spans="1:4" ht="15.75" customHeight="1" x14ac:dyDescent="0.2">
      <c r="A796" s="29"/>
      <c r="B796" s="29"/>
      <c r="C796" s="29"/>
      <c r="D796" s="29"/>
    </row>
    <row r="797" spans="1:4" ht="15.75" customHeight="1" x14ac:dyDescent="0.2">
      <c r="A797" s="29"/>
      <c r="B797" s="29"/>
      <c r="C797" s="29"/>
      <c r="D797" s="29"/>
    </row>
    <row r="798" spans="1:4" ht="15.75" customHeight="1" x14ac:dyDescent="0.2">
      <c r="A798" s="29"/>
      <c r="B798" s="29"/>
      <c r="C798" s="29"/>
      <c r="D798" s="29"/>
    </row>
    <row r="799" spans="1:4" ht="15.75" customHeight="1" x14ac:dyDescent="0.2">
      <c r="A799" s="29"/>
      <c r="B799" s="29"/>
      <c r="C799" s="29"/>
      <c r="D799" s="29"/>
    </row>
    <row r="800" spans="1:4" ht="15.75" customHeight="1" x14ac:dyDescent="0.2">
      <c r="A800" s="29"/>
      <c r="B800" s="29"/>
      <c r="C800" s="29"/>
      <c r="D800" s="29"/>
    </row>
    <row r="801" spans="1:4" ht="15.75" customHeight="1" x14ac:dyDescent="0.2">
      <c r="A801" s="29"/>
      <c r="B801" s="29"/>
      <c r="C801" s="29"/>
      <c r="D801" s="29"/>
    </row>
    <row r="802" spans="1:4" ht="15.75" customHeight="1" x14ac:dyDescent="0.2">
      <c r="A802" s="29"/>
      <c r="B802" s="29"/>
      <c r="C802" s="29"/>
      <c r="D802" s="29"/>
    </row>
    <row r="803" spans="1:4" ht="15.75" customHeight="1" x14ac:dyDescent="0.2">
      <c r="A803" s="29"/>
      <c r="B803" s="29"/>
      <c r="C803" s="29"/>
      <c r="D803" s="29"/>
    </row>
    <row r="804" spans="1:4" ht="15.75" customHeight="1" x14ac:dyDescent="0.2">
      <c r="A804" s="29"/>
      <c r="B804" s="29"/>
      <c r="C804" s="29"/>
      <c r="D804" s="29"/>
    </row>
    <row r="805" spans="1:4" ht="15.75" customHeight="1" x14ac:dyDescent="0.2">
      <c r="A805" s="29"/>
      <c r="B805" s="29"/>
      <c r="C805" s="29"/>
      <c r="D805" s="29"/>
    </row>
    <row r="806" spans="1:4" ht="15.75" customHeight="1" x14ac:dyDescent="0.2">
      <c r="A806" s="29"/>
      <c r="B806" s="29"/>
      <c r="C806" s="29"/>
      <c r="D806" s="29"/>
    </row>
    <row r="807" spans="1:4" ht="15.75" customHeight="1" x14ac:dyDescent="0.2">
      <c r="A807" s="29"/>
      <c r="B807" s="29"/>
      <c r="C807" s="29"/>
      <c r="D807" s="29"/>
    </row>
    <row r="808" spans="1:4" ht="15.75" customHeight="1" x14ac:dyDescent="0.2">
      <c r="A808" s="29"/>
      <c r="B808" s="29"/>
      <c r="C808" s="29"/>
      <c r="D808" s="29"/>
    </row>
    <row r="809" spans="1:4" ht="15.75" customHeight="1" x14ac:dyDescent="0.2">
      <c r="A809" s="29"/>
      <c r="B809" s="29"/>
      <c r="C809" s="29"/>
      <c r="D809" s="29"/>
    </row>
    <row r="810" spans="1:4" ht="15.75" customHeight="1" x14ac:dyDescent="0.2">
      <c r="A810" s="29"/>
      <c r="B810" s="29"/>
      <c r="C810" s="29"/>
      <c r="D810" s="29"/>
    </row>
    <row r="811" spans="1:4" ht="15.75" customHeight="1" x14ac:dyDescent="0.2">
      <c r="A811" s="29"/>
      <c r="B811" s="29"/>
      <c r="C811" s="29"/>
      <c r="D811" s="29"/>
    </row>
    <row r="812" spans="1:4" ht="15.75" customHeight="1" x14ac:dyDescent="0.2">
      <c r="A812" s="29"/>
      <c r="B812" s="29"/>
      <c r="C812" s="29"/>
      <c r="D812" s="29"/>
    </row>
    <row r="813" spans="1:4" ht="15.75" customHeight="1" x14ac:dyDescent="0.2">
      <c r="A813" s="29"/>
      <c r="B813" s="29"/>
      <c r="C813" s="29"/>
      <c r="D813" s="29"/>
    </row>
    <row r="814" spans="1:4" ht="15.75" customHeight="1" x14ac:dyDescent="0.2">
      <c r="A814" s="29"/>
      <c r="B814" s="29"/>
      <c r="C814" s="29"/>
      <c r="D814" s="29"/>
    </row>
    <row r="815" spans="1:4" ht="15.75" customHeight="1" x14ac:dyDescent="0.2">
      <c r="A815" s="29"/>
      <c r="B815" s="29"/>
      <c r="C815" s="29"/>
      <c r="D815" s="29"/>
    </row>
    <row r="816" spans="1:4" ht="15.75" customHeight="1" x14ac:dyDescent="0.2">
      <c r="A816" s="29"/>
      <c r="B816" s="29"/>
      <c r="C816" s="29"/>
      <c r="D816" s="29"/>
    </row>
    <row r="817" spans="1:4" ht="15.75" customHeight="1" x14ac:dyDescent="0.2">
      <c r="A817" s="29"/>
      <c r="B817" s="29"/>
      <c r="C817" s="29"/>
      <c r="D817" s="29"/>
    </row>
    <row r="818" spans="1:4" ht="15.75" customHeight="1" x14ac:dyDescent="0.2">
      <c r="A818" s="29"/>
      <c r="B818" s="29"/>
      <c r="C818" s="29"/>
      <c r="D818" s="29"/>
    </row>
    <row r="819" spans="1:4" ht="15.75" customHeight="1" x14ac:dyDescent="0.2">
      <c r="A819" s="29"/>
      <c r="B819" s="29"/>
      <c r="C819" s="29"/>
      <c r="D819" s="29"/>
    </row>
    <row r="820" spans="1:4" ht="15.75" customHeight="1" x14ac:dyDescent="0.2">
      <c r="A820" s="29"/>
      <c r="B820" s="29"/>
      <c r="C820" s="29"/>
      <c r="D820" s="29"/>
    </row>
    <row r="821" spans="1:4" ht="15.75" customHeight="1" x14ac:dyDescent="0.2">
      <c r="A821" s="29"/>
      <c r="B821" s="29"/>
      <c r="C821" s="29"/>
      <c r="D821" s="29"/>
    </row>
    <row r="822" spans="1:4" ht="15.75" customHeight="1" x14ac:dyDescent="0.2">
      <c r="A822" s="29"/>
      <c r="B822" s="29"/>
      <c r="C822" s="29"/>
      <c r="D822" s="29"/>
    </row>
    <row r="823" spans="1:4" ht="15.75" customHeight="1" x14ac:dyDescent="0.2">
      <c r="A823" s="29"/>
      <c r="B823" s="29"/>
      <c r="C823" s="29"/>
      <c r="D823" s="29"/>
    </row>
    <row r="824" spans="1:4" ht="15.75" customHeight="1" x14ac:dyDescent="0.2">
      <c r="A824" s="29"/>
      <c r="B824" s="29"/>
      <c r="C824" s="29"/>
      <c r="D824" s="29"/>
    </row>
    <row r="825" spans="1:4" ht="15.75" customHeight="1" x14ac:dyDescent="0.2">
      <c r="A825" s="29"/>
      <c r="B825" s="29"/>
      <c r="C825" s="29"/>
      <c r="D825" s="29"/>
    </row>
    <row r="826" spans="1:4" ht="15.75" customHeight="1" x14ac:dyDescent="0.2">
      <c r="A826" s="29"/>
      <c r="B826" s="29"/>
      <c r="C826" s="29"/>
      <c r="D826" s="29"/>
    </row>
    <row r="827" spans="1:4" ht="15.75" customHeight="1" x14ac:dyDescent="0.2">
      <c r="A827" s="29"/>
      <c r="B827" s="29"/>
      <c r="C827" s="29"/>
      <c r="D827" s="29"/>
    </row>
    <row r="828" spans="1:4" ht="15.75" customHeight="1" x14ac:dyDescent="0.2">
      <c r="A828" s="29"/>
      <c r="B828" s="29"/>
      <c r="C828" s="29"/>
      <c r="D828" s="29"/>
    </row>
    <row r="829" spans="1:4" ht="15.75" customHeight="1" x14ac:dyDescent="0.2">
      <c r="A829" s="29"/>
      <c r="B829" s="29"/>
      <c r="C829" s="29"/>
      <c r="D829" s="29"/>
    </row>
    <row r="830" spans="1:4" ht="15.75" customHeight="1" x14ac:dyDescent="0.2">
      <c r="A830" s="29"/>
      <c r="B830" s="29"/>
      <c r="C830" s="29"/>
      <c r="D830" s="29"/>
    </row>
    <row r="831" spans="1:4" ht="15.75" customHeight="1" x14ac:dyDescent="0.2">
      <c r="A831" s="29"/>
      <c r="B831" s="29"/>
      <c r="C831" s="29"/>
      <c r="D831" s="29"/>
    </row>
    <row r="832" spans="1:4" ht="15.75" customHeight="1" x14ac:dyDescent="0.2">
      <c r="A832" s="29"/>
      <c r="B832" s="29"/>
      <c r="C832" s="29"/>
      <c r="D832" s="29"/>
    </row>
    <row r="833" spans="1:4" ht="15.75" customHeight="1" x14ac:dyDescent="0.2">
      <c r="A833" s="29"/>
      <c r="B833" s="29"/>
      <c r="C833" s="29"/>
      <c r="D833" s="29"/>
    </row>
    <row r="834" spans="1:4" ht="15.75" customHeight="1" x14ac:dyDescent="0.2">
      <c r="A834" s="29"/>
      <c r="B834" s="29"/>
      <c r="C834" s="29"/>
      <c r="D834" s="29"/>
    </row>
    <row r="835" spans="1:4" ht="15.75" customHeight="1" x14ac:dyDescent="0.2">
      <c r="A835" s="29"/>
      <c r="B835" s="29"/>
      <c r="C835" s="29"/>
      <c r="D835" s="29"/>
    </row>
    <row r="836" spans="1:4" ht="15.75" customHeight="1" x14ac:dyDescent="0.2">
      <c r="A836" s="29"/>
      <c r="B836" s="29"/>
      <c r="C836" s="29"/>
      <c r="D836" s="29"/>
    </row>
    <row r="837" spans="1:4" ht="15.75" customHeight="1" x14ac:dyDescent="0.2">
      <c r="A837" s="29"/>
      <c r="B837" s="29"/>
      <c r="C837" s="29"/>
      <c r="D837" s="29"/>
    </row>
    <row r="838" spans="1:4" ht="15.75" customHeight="1" x14ac:dyDescent="0.2">
      <c r="A838" s="29"/>
      <c r="B838" s="29"/>
      <c r="C838" s="29"/>
      <c r="D838" s="29"/>
    </row>
    <row r="839" spans="1:4" ht="15.75" customHeight="1" x14ac:dyDescent="0.2">
      <c r="A839" s="29"/>
      <c r="B839" s="29"/>
      <c r="C839" s="29"/>
      <c r="D839" s="29"/>
    </row>
    <row r="840" spans="1:4" ht="15.75" customHeight="1" x14ac:dyDescent="0.2">
      <c r="A840" s="29"/>
      <c r="B840" s="29"/>
      <c r="C840" s="29"/>
      <c r="D840" s="29"/>
    </row>
    <row r="841" spans="1:4" ht="15.75" customHeight="1" x14ac:dyDescent="0.2">
      <c r="A841" s="29"/>
      <c r="B841" s="29"/>
      <c r="C841" s="29"/>
      <c r="D841" s="29"/>
    </row>
    <row r="842" spans="1:4" ht="15.75" customHeight="1" x14ac:dyDescent="0.2">
      <c r="A842" s="29"/>
      <c r="B842" s="29"/>
      <c r="C842" s="29"/>
      <c r="D842" s="29"/>
    </row>
    <row r="843" spans="1:4" ht="15.75" customHeight="1" x14ac:dyDescent="0.2">
      <c r="A843" s="29"/>
      <c r="B843" s="29"/>
      <c r="C843" s="29"/>
      <c r="D843" s="29"/>
    </row>
    <row r="844" spans="1:4" ht="15.75" customHeight="1" x14ac:dyDescent="0.2">
      <c r="A844" s="29"/>
      <c r="B844" s="29"/>
      <c r="C844" s="29"/>
      <c r="D844" s="29"/>
    </row>
    <row r="845" spans="1:4" ht="15.75" customHeight="1" x14ac:dyDescent="0.2">
      <c r="A845" s="29"/>
      <c r="B845" s="29"/>
      <c r="C845" s="29"/>
      <c r="D845" s="29"/>
    </row>
    <row r="846" spans="1:4" ht="15.75" customHeight="1" x14ac:dyDescent="0.2">
      <c r="A846" s="29"/>
      <c r="B846" s="29"/>
      <c r="C846" s="29"/>
      <c r="D846" s="29"/>
    </row>
    <row r="847" spans="1:4" ht="15.75" customHeight="1" x14ac:dyDescent="0.2">
      <c r="A847" s="29"/>
      <c r="B847" s="29"/>
      <c r="C847" s="29"/>
      <c r="D847" s="29"/>
    </row>
    <row r="848" spans="1:4" ht="15.75" customHeight="1" x14ac:dyDescent="0.2">
      <c r="A848" s="29"/>
      <c r="B848" s="29"/>
      <c r="C848" s="29"/>
      <c r="D848" s="29"/>
    </row>
    <row r="849" spans="1:4" ht="15.75" customHeight="1" x14ac:dyDescent="0.2">
      <c r="A849" s="29"/>
      <c r="B849" s="29"/>
      <c r="C849" s="29"/>
      <c r="D849" s="29"/>
    </row>
    <row r="850" spans="1:4" ht="15.75" customHeight="1" x14ac:dyDescent="0.2">
      <c r="A850" s="29"/>
      <c r="B850" s="29"/>
      <c r="C850" s="29"/>
      <c r="D850" s="29"/>
    </row>
    <row r="851" spans="1:4" ht="15.75" customHeight="1" x14ac:dyDescent="0.2">
      <c r="A851" s="29"/>
      <c r="B851" s="29"/>
      <c r="C851" s="29"/>
      <c r="D851" s="29"/>
    </row>
    <row r="852" spans="1:4" ht="15.75" customHeight="1" x14ac:dyDescent="0.2">
      <c r="A852" s="29"/>
      <c r="B852" s="29"/>
      <c r="C852" s="29"/>
      <c r="D852" s="29"/>
    </row>
    <row r="853" spans="1:4" ht="15.75" customHeight="1" x14ac:dyDescent="0.2">
      <c r="A853" s="29"/>
      <c r="B853" s="29"/>
      <c r="C853" s="29"/>
      <c r="D853" s="29"/>
    </row>
    <row r="854" spans="1:4" ht="15.75" customHeight="1" x14ac:dyDescent="0.2">
      <c r="A854" s="29"/>
      <c r="B854" s="29"/>
      <c r="C854" s="29"/>
      <c r="D854" s="29"/>
    </row>
    <row r="855" spans="1:4" ht="15.75" customHeight="1" x14ac:dyDescent="0.2">
      <c r="A855" s="29"/>
      <c r="B855" s="29"/>
      <c r="C855" s="29"/>
      <c r="D855" s="29"/>
    </row>
    <row r="856" spans="1:4" ht="15.75" customHeight="1" x14ac:dyDescent="0.2">
      <c r="A856" s="29"/>
      <c r="B856" s="29"/>
      <c r="C856" s="29"/>
      <c r="D856" s="29"/>
    </row>
    <row r="857" spans="1:4" ht="15.75" customHeight="1" x14ac:dyDescent="0.2">
      <c r="A857" s="29"/>
      <c r="B857" s="29"/>
      <c r="C857" s="29"/>
      <c r="D857" s="29"/>
    </row>
    <row r="858" spans="1:4" ht="15.75" customHeight="1" x14ac:dyDescent="0.2">
      <c r="A858" s="29"/>
      <c r="B858" s="29"/>
      <c r="C858" s="29"/>
      <c r="D858" s="29"/>
    </row>
    <row r="859" spans="1:4" ht="15.75" customHeight="1" x14ac:dyDescent="0.2">
      <c r="A859" s="29"/>
      <c r="B859" s="29"/>
      <c r="C859" s="29"/>
      <c r="D859" s="29"/>
    </row>
    <row r="860" spans="1:4" ht="15.75" customHeight="1" x14ac:dyDescent="0.2">
      <c r="A860" s="29"/>
      <c r="B860" s="29"/>
      <c r="C860" s="29"/>
      <c r="D860" s="29"/>
    </row>
    <row r="861" spans="1:4" ht="15.75" customHeight="1" x14ac:dyDescent="0.2">
      <c r="A861" s="29"/>
      <c r="B861" s="29"/>
      <c r="C861" s="29"/>
      <c r="D861" s="29"/>
    </row>
    <row r="862" spans="1:4" ht="15.75" customHeight="1" x14ac:dyDescent="0.2">
      <c r="A862" s="29"/>
      <c r="B862" s="29"/>
      <c r="C862" s="29"/>
      <c r="D862" s="29"/>
    </row>
    <row r="863" spans="1:4" ht="15.75" customHeight="1" x14ac:dyDescent="0.2">
      <c r="A863" s="29"/>
      <c r="B863" s="29"/>
      <c r="C863" s="29"/>
      <c r="D863" s="29"/>
    </row>
    <row r="864" spans="1:4" ht="15.75" customHeight="1" x14ac:dyDescent="0.2">
      <c r="A864" s="29"/>
      <c r="B864" s="29"/>
      <c r="C864" s="29"/>
      <c r="D864" s="29"/>
    </row>
    <row r="865" spans="1:4" ht="15.75" customHeight="1" x14ac:dyDescent="0.2">
      <c r="A865" s="29"/>
      <c r="B865" s="29"/>
      <c r="C865" s="29"/>
      <c r="D865" s="29"/>
    </row>
    <row r="866" spans="1:4" ht="15.75" customHeight="1" x14ac:dyDescent="0.2">
      <c r="A866" s="29"/>
      <c r="B866" s="29"/>
      <c r="C866" s="29"/>
      <c r="D866" s="29"/>
    </row>
    <row r="867" spans="1:4" ht="15.75" customHeight="1" x14ac:dyDescent="0.2">
      <c r="A867" s="29"/>
      <c r="B867" s="29"/>
      <c r="C867" s="29"/>
      <c r="D867" s="29"/>
    </row>
    <row r="868" spans="1:4" ht="15.75" customHeight="1" x14ac:dyDescent="0.2">
      <c r="A868" s="29"/>
      <c r="B868" s="29"/>
      <c r="C868" s="29"/>
      <c r="D868" s="29"/>
    </row>
    <row r="869" spans="1:4" ht="15.75" customHeight="1" x14ac:dyDescent="0.2">
      <c r="A869" s="29"/>
      <c r="B869" s="29"/>
      <c r="C869" s="29"/>
      <c r="D869" s="29"/>
    </row>
    <row r="870" spans="1:4" ht="15.75" customHeight="1" x14ac:dyDescent="0.2">
      <c r="A870" s="29"/>
      <c r="B870" s="29"/>
      <c r="C870" s="29"/>
      <c r="D870" s="29"/>
    </row>
    <row r="871" spans="1:4" ht="15.75" customHeight="1" x14ac:dyDescent="0.2">
      <c r="A871" s="29"/>
      <c r="B871" s="29"/>
      <c r="C871" s="29"/>
      <c r="D871" s="29"/>
    </row>
    <row r="872" spans="1:4" ht="15.75" customHeight="1" x14ac:dyDescent="0.2">
      <c r="A872" s="29"/>
      <c r="B872" s="29"/>
      <c r="C872" s="29"/>
      <c r="D872" s="29"/>
    </row>
    <row r="873" spans="1:4" ht="15.75" customHeight="1" x14ac:dyDescent="0.2">
      <c r="A873" s="29"/>
      <c r="B873" s="29"/>
      <c r="C873" s="29"/>
      <c r="D873" s="29"/>
    </row>
    <row r="874" spans="1:4" ht="15.75" customHeight="1" x14ac:dyDescent="0.2">
      <c r="A874" s="29"/>
      <c r="B874" s="29"/>
      <c r="C874" s="29"/>
      <c r="D874" s="29"/>
    </row>
    <row r="875" spans="1:4" ht="15.75" customHeight="1" x14ac:dyDescent="0.2">
      <c r="A875" s="29"/>
      <c r="B875" s="29"/>
      <c r="C875" s="29"/>
      <c r="D875" s="29"/>
    </row>
    <row r="876" spans="1:4" ht="15.75" customHeight="1" x14ac:dyDescent="0.2">
      <c r="A876" s="29"/>
      <c r="B876" s="29"/>
      <c r="C876" s="29"/>
      <c r="D876" s="29"/>
    </row>
    <row r="877" spans="1:4" ht="15.75" customHeight="1" x14ac:dyDescent="0.2">
      <c r="A877" s="29"/>
      <c r="B877" s="29"/>
      <c r="C877" s="29"/>
      <c r="D877" s="29"/>
    </row>
    <row r="878" spans="1:4" ht="15.75" customHeight="1" x14ac:dyDescent="0.2">
      <c r="A878" s="29"/>
      <c r="B878" s="29"/>
      <c r="C878" s="29"/>
      <c r="D878" s="29"/>
    </row>
    <row r="879" spans="1:4" ht="15.75" customHeight="1" x14ac:dyDescent="0.2">
      <c r="A879" s="29"/>
      <c r="B879" s="29"/>
      <c r="C879" s="29"/>
      <c r="D879" s="29"/>
    </row>
    <row r="880" spans="1:4" ht="15.75" customHeight="1" x14ac:dyDescent="0.2">
      <c r="A880" s="29"/>
      <c r="B880" s="29"/>
      <c r="C880" s="29"/>
      <c r="D880" s="29"/>
    </row>
    <row r="881" spans="1:4" ht="15.75" customHeight="1" x14ac:dyDescent="0.2">
      <c r="A881" s="29"/>
      <c r="B881" s="29"/>
      <c r="C881" s="29"/>
      <c r="D881" s="29"/>
    </row>
    <row r="882" spans="1:4" ht="15.75" customHeight="1" x14ac:dyDescent="0.2">
      <c r="A882" s="29"/>
      <c r="B882" s="29"/>
      <c r="C882" s="29"/>
      <c r="D882" s="29"/>
    </row>
    <row r="883" spans="1:4" ht="15.75" customHeight="1" x14ac:dyDescent="0.2">
      <c r="A883" s="29"/>
      <c r="B883" s="29"/>
      <c r="C883" s="29"/>
      <c r="D883" s="29"/>
    </row>
    <row r="884" spans="1:4" ht="15.75" customHeight="1" x14ac:dyDescent="0.2">
      <c r="A884" s="29"/>
      <c r="B884" s="29"/>
      <c r="C884" s="29"/>
      <c r="D884" s="29"/>
    </row>
    <row r="885" spans="1:4" ht="15.75" customHeight="1" x14ac:dyDescent="0.2">
      <c r="A885" s="29"/>
      <c r="B885" s="29"/>
      <c r="C885" s="29"/>
      <c r="D885" s="29"/>
    </row>
    <row r="886" spans="1:4" ht="15.75" customHeight="1" x14ac:dyDescent="0.2">
      <c r="A886" s="29"/>
      <c r="B886" s="29"/>
      <c r="C886" s="29"/>
      <c r="D886" s="29"/>
    </row>
    <row r="887" spans="1:4" ht="15.75" customHeight="1" x14ac:dyDescent="0.2">
      <c r="A887" s="29"/>
      <c r="B887" s="29"/>
      <c r="C887" s="29"/>
      <c r="D887" s="29"/>
    </row>
    <row r="888" spans="1:4" ht="15.75" customHeight="1" x14ac:dyDescent="0.2">
      <c r="A888" s="29"/>
      <c r="B888" s="29"/>
      <c r="C888" s="29"/>
      <c r="D888" s="29"/>
    </row>
    <row r="889" spans="1:4" ht="15.75" customHeight="1" x14ac:dyDescent="0.2">
      <c r="A889" s="29"/>
      <c r="B889" s="29"/>
      <c r="C889" s="29"/>
      <c r="D889" s="29"/>
    </row>
    <row r="890" spans="1:4" ht="15.75" customHeight="1" x14ac:dyDescent="0.2">
      <c r="A890" s="29"/>
      <c r="B890" s="29"/>
      <c r="C890" s="29"/>
      <c r="D890" s="29"/>
    </row>
    <row r="891" spans="1:4" ht="15.75" customHeight="1" x14ac:dyDescent="0.2">
      <c r="A891" s="29"/>
      <c r="B891" s="29"/>
      <c r="C891" s="29"/>
      <c r="D891" s="29"/>
    </row>
    <row r="892" spans="1:4" ht="15.75" customHeight="1" x14ac:dyDescent="0.2">
      <c r="A892" s="29"/>
      <c r="B892" s="29"/>
      <c r="C892" s="29"/>
      <c r="D892" s="29"/>
    </row>
    <row r="893" spans="1:4" ht="15.75" customHeight="1" x14ac:dyDescent="0.2">
      <c r="A893" s="29"/>
      <c r="B893" s="29"/>
      <c r="C893" s="29"/>
      <c r="D893" s="29"/>
    </row>
    <row r="894" spans="1:4" ht="15.75" customHeight="1" x14ac:dyDescent="0.2">
      <c r="A894" s="29"/>
      <c r="B894" s="29"/>
      <c r="C894" s="29"/>
      <c r="D894" s="29"/>
    </row>
    <row r="895" spans="1:4" ht="15.75" customHeight="1" x14ac:dyDescent="0.2">
      <c r="A895" s="29"/>
      <c r="B895" s="29"/>
      <c r="C895" s="29"/>
      <c r="D895" s="29"/>
    </row>
    <row r="896" spans="1:4" ht="15.75" customHeight="1" x14ac:dyDescent="0.2">
      <c r="A896" s="29"/>
      <c r="B896" s="29"/>
      <c r="C896" s="29"/>
      <c r="D896" s="29"/>
    </row>
    <row r="897" spans="1:4" ht="15.75" customHeight="1" x14ac:dyDescent="0.2">
      <c r="A897" s="29"/>
      <c r="B897" s="29"/>
      <c r="C897" s="29"/>
      <c r="D897" s="29"/>
    </row>
    <row r="898" spans="1:4" ht="15.75" customHeight="1" x14ac:dyDescent="0.2">
      <c r="A898" s="29"/>
      <c r="B898" s="29"/>
      <c r="C898" s="29"/>
      <c r="D898" s="29"/>
    </row>
    <row r="899" spans="1:4" ht="15.75" customHeight="1" x14ac:dyDescent="0.2">
      <c r="A899" s="29"/>
      <c r="B899" s="29"/>
      <c r="C899" s="29"/>
      <c r="D899" s="29"/>
    </row>
    <row r="900" spans="1:4" ht="15.75" customHeight="1" x14ac:dyDescent="0.2">
      <c r="A900" s="29"/>
      <c r="B900" s="29"/>
      <c r="C900" s="29"/>
      <c r="D900" s="29"/>
    </row>
    <row r="901" spans="1:4" ht="15.75" customHeight="1" x14ac:dyDescent="0.2">
      <c r="A901" s="29"/>
      <c r="B901" s="29"/>
      <c r="C901" s="29"/>
      <c r="D901" s="29"/>
    </row>
    <row r="902" spans="1:4" ht="15.75" customHeight="1" x14ac:dyDescent="0.2">
      <c r="A902" s="29"/>
      <c r="B902" s="29"/>
      <c r="C902" s="29"/>
      <c r="D902" s="29"/>
    </row>
    <row r="903" spans="1:4" ht="15.75" customHeight="1" x14ac:dyDescent="0.2">
      <c r="A903" s="29"/>
      <c r="B903" s="29"/>
      <c r="C903" s="29"/>
      <c r="D903" s="29"/>
    </row>
    <row r="904" spans="1:4" ht="15.75" customHeight="1" x14ac:dyDescent="0.2">
      <c r="A904" s="29"/>
      <c r="B904" s="29"/>
      <c r="C904" s="29"/>
      <c r="D904" s="29"/>
    </row>
    <row r="905" spans="1:4" ht="15.75" customHeight="1" x14ac:dyDescent="0.2">
      <c r="A905" s="29"/>
      <c r="B905" s="29"/>
      <c r="C905" s="29"/>
      <c r="D905" s="29"/>
    </row>
    <row r="906" spans="1:4" ht="15.75" customHeight="1" x14ac:dyDescent="0.2">
      <c r="A906" s="29"/>
      <c r="B906" s="29"/>
      <c r="C906" s="29"/>
      <c r="D906" s="29"/>
    </row>
    <row r="907" spans="1:4" ht="15.75" customHeight="1" x14ac:dyDescent="0.2">
      <c r="A907" s="29"/>
      <c r="B907" s="29"/>
      <c r="C907" s="29"/>
      <c r="D907" s="29"/>
    </row>
    <row r="908" spans="1:4" ht="15.75" customHeight="1" x14ac:dyDescent="0.2">
      <c r="A908" s="29"/>
      <c r="B908" s="29"/>
      <c r="C908" s="29"/>
      <c r="D908" s="29"/>
    </row>
    <row r="909" spans="1:4" ht="15.75" customHeight="1" x14ac:dyDescent="0.2">
      <c r="A909" s="29"/>
      <c r="B909" s="29"/>
      <c r="C909" s="29"/>
      <c r="D909" s="29"/>
    </row>
    <row r="910" spans="1:4" ht="15.75" customHeight="1" x14ac:dyDescent="0.2">
      <c r="A910" s="29"/>
      <c r="B910" s="29"/>
      <c r="C910" s="29"/>
      <c r="D910" s="29"/>
    </row>
    <row r="911" spans="1:4" ht="15.75" customHeight="1" x14ac:dyDescent="0.2">
      <c r="A911" s="29"/>
      <c r="B911" s="29"/>
      <c r="C911" s="29"/>
      <c r="D911" s="29"/>
    </row>
    <row r="912" spans="1:4" ht="15.75" customHeight="1" x14ac:dyDescent="0.2">
      <c r="A912" s="29"/>
      <c r="B912" s="29"/>
      <c r="C912" s="29"/>
      <c r="D912" s="29"/>
    </row>
    <row r="913" spans="1:4" ht="15.75" customHeight="1" x14ac:dyDescent="0.2">
      <c r="A913" s="29"/>
      <c r="B913" s="29"/>
      <c r="C913" s="29"/>
      <c r="D913" s="29"/>
    </row>
    <row r="914" spans="1:4" ht="15.75" customHeight="1" x14ac:dyDescent="0.2">
      <c r="A914" s="29"/>
      <c r="B914" s="29"/>
      <c r="C914" s="29"/>
      <c r="D914" s="29"/>
    </row>
    <row r="915" spans="1:4" ht="15.75" customHeight="1" x14ac:dyDescent="0.2">
      <c r="A915" s="29"/>
      <c r="B915" s="29"/>
      <c r="C915" s="29"/>
      <c r="D915" s="29"/>
    </row>
    <row r="916" spans="1:4" ht="15.75" customHeight="1" x14ac:dyDescent="0.2">
      <c r="A916" s="29"/>
      <c r="B916" s="29"/>
      <c r="C916" s="29"/>
      <c r="D916" s="29"/>
    </row>
    <row r="917" spans="1:4" ht="15.75" customHeight="1" x14ac:dyDescent="0.2">
      <c r="A917" s="29"/>
      <c r="B917" s="29"/>
      <c r="C917" s="29"/>
      <c r="D917" s="29"/>
    </row>
    <row r="918" spans="1:4" ht="15.75" customHeight="1" x14ac:dyDescent="0.2">
      <c r="A918" s="29"/>
      <c r="B918" s="29"/>
      <c r="C918" s="29"/>
      <c r="D918" s="29"/>
    </row>
    <row r="919" spans="1:4" ht="15.75" customHeight="1" x14ac:dyDescent="0.2">
      <c r="A919" s="29"/>
      <c r="B919" s="29"/>
      <c r="C919" s="29"/>
      <c r="D919" s="29"/>
    </row>
    <row r="920" spans="1:4" ht="15.75" customHeight="1" x14ac:dyDescent="0.2">
      <c r="A920" s="29"/>
      <c r="B920" s="29"/>
      <c r="C920" s="29"/>
      <c r="D920" s="29"/>
    </row>
    <row r="921" spans="1:4" ht="15.75" customHeight="1" x14ac:dyDescent="0.2">
      <c r="A921" s="29"/>
      <c r="B921" s="29"/>
      <c r="C921" s="29"/>
      <c r="D921" s="29"/>
    </row>
    <row r="922" spans="1:4" ht="15.75" customHeight="1" x14ac:dyDescent="0.2">
      <c r="A922" s="29"/>
      <c r="B922" s="29"/>
      <c r="C922" s="29"/>
      <c r="D922" s="29"/>
    </row>
    <row r="923" spans="1:4" ht="15.75" customHeight="1" x14ac:dyDescent="0.2">
      <c r="A923" s="29"/>
      <c r="B923" s="29"/>
      <c r="C923" s="29"/>
      <c r="D923" s="29"/>
    </row>
    <row r="924" spans="1:4" ht="15.75" customHeight="1" x14ac:dyDescent="0.2">
      <c r="A924" s="29"/>
      <c r="B924" s="29"/>
      <c r="C924" s="29"/>
      <c r="D924" s="29"/>
    </row>
    <row r="925" spans="1:4" ht="15.75" customHeight="1" x14ac:dyDescent="0.2">
      <c r="A925" s="29"/>
      <c r="B925" s="29"/>
      <c r="C925" s="29"/>
      <c r="D925" s="29"/>
    </row>
    <row r="926" spans="1:4" ht="15.75" customHeight="1" x14ac:dyDescent="0.2">
      <c r="A926" s="29"/>
      <c r="B926" s="29"/>
      <c r="C926" s="29"/>
      <c r="D926" s="29"/>
    </row>
    <row r="927" spans="1:4" ht="15.75" customHeight="1" x14ac:dyDescent="0.2">
      <c r="A927" s="29"/>
      <c r="B927" s="29"/>
      <c r="C927" s="29"/>
      <c r="D927" s="29"/>
    </row>
    <row r="928" spans="1:4" ht="15.75" customHeight="1" x14ac:dyDescent="0.2">
      <c r="A928" s="29"/>
      <c r="B928" s="29"/>
      <c r="C928" s="29"/>
      <c r="D928" s="29"/>
    </row>
    <row r="929" spans="1:4" ht="15.75" customHeight="1" x14ac:dyDescent="0.2">
      <c r="A929" s="29"/>
      <c r="B929" s="29"/>
      <c r="C929" s="29"/>
      <c r="D929" s="29"/>
    </row>
    <row r="930" spans="1:4" ht="15.75" customHeight="1" x14ac:dyDescent="0.2">
      <c r="A930" s="29"/>
      <c r="B930" s="29"/>
      <c r="C930" s="29"/>
      <c r="D930" s="29"/>
    </row>
    <row r="931" spans="1:4" ht="15.75" customHeight="1" x14ac:dyDescent="0.2">
      <c r="A931" s="29"/>
      <c r="B931" s="29"/>
      <c r="C931" s="29"/>
      <c r="D931" s="29"/>
    </row>
    <row r="932" spans="1:4" ht="15.75" customHeight="1" x14ac:dyDescent="0.2">
      <c r="A932" s="29"/>
      <c r="B932" s="29"/>
      <c r="C932" s="29"/>
      <c r="D932" s="29"/>
    </row>
    <row r="933" spans="1:4" ht="15.75" customHeight="1" x14ac:dyDescent="0.2">
      <c r="A933" s="29"/>
      <c r="B933" s="29"/>
      <c r="C933" s="29"/>
      <c r="D933" s="29"/>
    </row>
    <row r="934" spans="1:4" ht="15.75" customHeight="1" x14ac:dyDescent="0.2">
      <c r="A934" s="29"/>
      <c r="B934" s="29"/>
      <c r="C934" s="29"/>
      <c r="D934" s="29"/>
    </row>
    <row r="935" spans="1:4" ht="15.75" customHeight="1" x14ac:dyDescent="0.2">
      <c r="A935" s="29"/>
      <c r="B935" s="29"/>
      <c r="C935" s="29"/>
      <c r="D935" s="29"/>
    </row>
    <row r="936" spans="1:4" ht="15.75" customHeight="1" x14ac:dyDescent="0.2">
      <c r="A936" s="29"/>
      <c r="B936" s="29"/>
      <c r="C936" s="29"/>
      <c r="D936" s="29"/>
    </row>
    <row r="937" spans="1:4" ht="15.75" customHeight="1" x14ac:dyDescent="0.2">
      <c r="A937" s="29"/>
      <c r="B937" s="29"/>
      <c r="C937" s="29"/>
      <c r="D937" s="29"/>
    </row>
    <row r="938" spans="1:4" ht="15.75" customHeight="1" x14ac:dyDescent="0.2">
      <c r="A938" s="29"/>
      <c r="B938" s="29"/>
      <c r="C938" s="29"/>
      <c r="D938" s="29"/>
    </row>
    <row r="939" spans="1:4" ht="15.75" customHeight="1" x14ac:dyDescent="0.2">
      <c r="A939" s="29"/>
      <c r="B939" s="29"/>
      <c r="C939" s="29"/>
      <c r="D939" s="29"/>
    </row>
    <row r="940" spans="1:4" ht="15.75" customHeight="1" x14ac:dyDescent="0.2">
      <c r="A940" s="29"/>
      <c r="B940" s="29"/>
      <c r="C940" s="29"/>
      <c r="D940" s="29"/>
    </row>
    <row r="941" spans="1:4" ht="15.75" customHeight="1" x14ac:dyDescent="0.2">
      <c r="A941" s="29"/>
      <c r="B941" s="29"/>
      <c r="C941" s="29"/>
      <c r="D941" s="29"/>
    </row>
    <row r="942" spans="1:4" ht="15.75" customHeight="1" x14ac:dyDescent="0.2">
      <c r="A942" s="29"/>
      <c r="B942" s="29"/>
      <c r="C942" s="29"/>
      <c r="D942" s="29"/>
    </row>
    <row r="943" spans="1:4" ht="15.75" customHeight="1" x14ac:dyDescent="0.2">
      <c r="A943" s="29"/>
      <c r="B943" s="29"/>
      <c r="C943" s="29"/>
      <c r="D943" s="29"/>
    </row>
    <row r="944" spans="1:4" ht="15.75" customHeight="1" x14ac:dyDescent="0.2">
      <c r="A944" s="29"/>
      <c r="B944" s="29"/>
      <c r="C944" s="29"/>
      <c r="D944" s="29"/>
    </row>
    <row r="945" spans="1:4" ht="15.75" customHeight="1" x14ac:dyDescent="0.2">
      <c r="A945" s="29"/>
      <c r="B945" s="29"/>
      <c r="C945" s="29"/>
      <c r="D945" s="29"/>
    </row>
    <row r="946" spans="1:4" ht="15.75" customHeight="1" x14ac:dyDescent="0.2">
      <c r="A946" s="29"/>
      <c r="B946" s="29"/>
      <c r="C946" s="29"/>
      <c r="D946" s="29"/>
    </row>
    <row r="947" spans="1:4" ht="15.75" customHeight="1" x14ac:dyDescent="0.2">
      <c r="A947" s="29"/>
      <c r="B947" s="29"/>
      <c r="C947" s="29"/>
      <c r="D947" s="29"/>
    </row>
    <row r="948" spans="1:4" ht="15.75" customHeight="1" x14ac:dyDescent="0.2">
      <c r="A948" s="29"/>
      <c r="B948" s="29"/>
      <c r="C948" s="29"/>
      <c r="D948" s="29"/>
    </row>
    <row r="949" spans="1:4" ht="15.75" customHeight="1" x14ac:dyDescent="0.2">
      <c r="A949" s="29"/>
      <c r="B949" s="29"/>
      <c r="C949" s="29"/>
      <c r="D949" s="29"/>
    </row>
    <row r="950" spans="1:4" ht="15.75" customHeight="1" x14ac:dyDescent="0.2">
      <c r="A950" s="29"/>
      <c r="B950" s="29"/>
      <c r="C950" s="29"/>
      <c r="D950" s="29"/>
    </row>
    <row r="951" spans="1:4" ht="15.75" customHeight="1" x14ac:dyDescent="0.2">
      <c r="A951" s="29"/>
      <c r="B951" s="29"/>
      <c r="C951" s="29"/>
      <c r="D951" s="29"/>
    </row>
    <row r="952" spans="1:4" ht="15.75" customHeight="1" x14ac:dyDescent="0.2">
      <c r="A952" s="29"/>
      <c r="B952" s="29"/>
      <c r="C952" s="29"/>
      <c r="D952" s="29"/>
    </row>
    <row r="953" spans="1:4" ht="15.75" customHeight="1" x14ac:dyDescent="0.2">
      <c r="A953" s="29"/>
      <c r="B953" s="29"/>
      <c r="C953" s="29"/>
      <c r="D953" s="29"/>
    </row>
    <row r="954" spans="1:4" ht="15.75" customHeight="1" x14ac:dyDescent="0.2">
      <c r="A954" s="29"/>
      <c r="B954" s="29"/>
      <c r="C954" s="29"/>
      <c r="D954" s="29"/>
    </row>
    <row r="955" spans="1:4" ht="15.75" customHeight="1" x14ac:dyDescent="0.2">
      <c r="A955" s="29"/>
      <c r="B955" s="29"/>
      <c r="C955" s="29"/>
      <c r="D955" s="29"/>
    </row>
    <row r="956" spans="1:4" ht="15.75" customHeight="1" x14ac:dyDescent="0.2">
      <c r="A956" s="29"/>
      <c r="B956" s="29"/>
      <c r="C956" s="29"/>
      <c r="D956" s="29"/>
    </row>
    <row r="957" spans="1:4" ht="15.75" customHeight="1" x14ac:dyDescent="0.2">
      <c r="A957" s="29"/>
      <c r="B957" s="29"/>
      <c r="C957" s="29"/>
      <c r="D957" s="29"/>
    </row>
    <row r="958" spans="1:4" ht="15.75" customHeight="1" x14ac:dyDescent="0.2">
      <c r="A958" s="29"/>
      <c r="B958" s="29"/>
      <c r="C958" s="29"/>
      <c r="D958" s="29"/>
    </row>
    <row r="959" spans="1:4" ht="15.75" customHeight="1" x14ac:dyDescent="0.2">
      <c r="A959" s="29"/>
      <c r="B959" s="29"/>
      <c r="C959" s="29"/>
      <c r="D959" s="29"/>
    </row>
    <row r="960" spans="1:4" ht="15.75" customHeight="1" x14ac:dyDescent="0.2">
      <c r="A960" s="29"/>
      <c r="B960" s="29"/>
      <c r="C960" s="29"/>
      <c r="D960" s="29"/>
    </row>
    <row r="961" spans="1:4" ht="15.75" customHeight="1" x14ac:dyDescent="0.2">
      <c r="A961" s="29"/>
      <c r="B961" s="29"/>
      <c r="C961" s="29"/>
      <c r="D961" s="29"/>
    </row>
    <row r="962" spans="1:4" ht="15.75" customHeight="1" x14ac:dyDescent="0.2">
      <c r="A962" s="29"/>
      <c r="B962" s="29"/>
      <c r="C962" s="29"/>
      <c r="D962" s="29"/>
    </row>
    <row r="963" spans="1:4" ht="15.75" customHeight="1" x14ac:dyDescent="0.2">
      <c r="A963" s="29"/>
      <c r="B963" s="29"/>
      <c r="C963" s="29"/>
      <c r="D963" s="29"/>
    </row>
    <row r="964" spans="1:4" ht="15.75" customHeight="1" x14ac:dyDescent="0.2">
      <c r="A964" s="29"/>
      <c r="B964" s="29"/>
      <c r="C964" s="29"/>
      <c r="D964" s="29"/>
    </row>
    <row r="965" spans="1:4" ht="15.75" customHeight="1" x14ac:dyDescent="0.2">
      <c r="A965" s="29"/>
      <c r="B965" s="29"/>
      <c r="C965" s="29"/>
      <c r="D965" s="29"/>
    </row>
    <row r="966" spans="1:4" ht="15.75" customHeight="1" x14ac:dyDescent="0.2">
      <c r="A966" s="29"/>
      <c r="B966" s="29"/>
      <c r="C966" s="29"/>
      <c r="D966" s="29"/>
    </row>
    <row r="967" spans="1:4" ht="15.75" customHeight="1" x14ac:dyDescent="0.2">
      <c r="A967" s="29"/>
      <c r="B967" s="29"/>
      <c r="C967" s="29"/>
      <c r="D967" s="29"/>
    </row>
    <row r="968" spans="1:4" ht="15.75" customHeight="1" x14ac:dyDescent="0.2">
      <c r="A968" s="29"/>
      <c r="B968" s="29"/>
      <c r="C968" s="29"/>
      <c r="D968" s="29"/>
    </row>
    <row r="969" spans="1:4" ht="15.75" customHeight="1" x14ac:dyDescent="0.2">
      <c r="A969" s="29"/>
      <c r="B969" s="29"/>
      <c r="C969" s="29"/>
      <c r="D969" s="29"/>
    </row>
    <row r="970" spans="1:4" ht="15.75" customHeight="1" x14ac:dyDescent="0.2">
      <c r="A970" s="29"/>
      <c r="B970" s="29"/>
      <c r="C970" s="29"/>
      <c r="D970" s="29"/>
    </row>
    <row r="971" spans="1:4" ht="15.75" customHeight="1" x14ac:dyDescent="0.2">
      <c r="A971" s="29"/>
      <c r="B971" s="29"/>
      <c r="C971" s="29"/>
      <c r="D971" s="29"/>
    </row>
    <row r="972" spans="1:4" ht="15.75" customHeight="1" x14ac:dyDescent="0.2">
      <c r="A972" s="29"/>
      <c r="B972" s="29"/>
      <c r="C972" s="29"/>
      <c r="D972" s="29"/>
    </row>
    <row r="973" spans="1:4" ht="15.75" customHeight="1" x14ac:dyDescent="0.2">
      <c r="A973" s="29"/>
      <c r="B973" s="29"/>
      <c r="C973" s="29"/>
      <c r="D973" s="29"/>
    </row>
    <row r="974" spans="1:4" ht="15.75" customHeight="1" x14ac:dyDescent="0.2">
      <c r="A974" s="29"/>
      <c r="B974" s="29"/>
      <c r="C974" s="29"/>
      <c r="D974" s="29"/>
    </row>
    <row r="975" spans="1:4" ht="15.75" customHeight="1" x14ac:dyDescent="0.2">
      <c r="A975" s="29"/>
      <c r="B975" s="29"/>
      <c r="C975" s="29"/>
      <c r="D975" s="29"/>
    </row>
    <row r="976" spans="1:4" ht="15.75" customHeight="1" x14ac:dyDescent="0.2">
      <c r="A976" s="29"/>
      <c r="B976" s="29"/>
      <c r="C976" s="29"/>
      <c r="D976" s="29"/>
    </row>
    <row r="977" spans="1:4" ht="15.75" customHeight="1" x14ac:dyDescent="0.2">
      <c r="A977" s="29"/>
      <c r="B977" s="29"/>
      <c r="C977" s="29"/>
      <c r="D977" s="29"/>
    </row>
    <row r="978" spans="1:4" ht="15.75" customHeight="1" x14ac:dyDescent="0.2">
      <c r="A978" s="29"/>
      <c r="B978" s="29"/>
      <c r="C978" s="29"/>
      <c r="D978" s="29"/>
    </row>
    <row r="979" spans="1:4" ht="15.75" customHeight="1" x14ac:dyDescent="0.2">
      <c r="A979" s="29"/>
      <c r="B979" s="29"/>
      <c r="C979" s="29"/>
      <c r="D979" s="29"/>
    </row>
    <row r="980" spans="1:4" ht="15.75" customHeight="1" x14ac:dyDescent="0.2">
      <c r="A980" s="29"/>
      <c r="B980" s="29"/>
      <c r="C980" s="29"/>
      <c r="D980" s="29"/>
    </row>
    <row r="981" spans="1:4" ht="15.75" customHeight="1" x14ac:dyDescent="0.2">
      <c r="A981" s="29"/>
      <c r="B981" s="29"/>
      <c r="C981" s="29"/>
      <c r="D981" s="29"/>
    </row>
    <row r="982" spans="1:4" ht="15.75" customHeight="1" x14ac:dyDescent="0.2">
      <c r="A982" s="29"/>
      <c r="B982" s="29"/>
      <c r="C982" s="29"/>
      <c r="D982" s="29"/>
    </row>
    <row r="983" spans="1:4" ht="15.75" customHeight="1" x14ac:dyDescent="0.2">
      <c r="A983" s="29"/>
      <c r="B983" s="29"/>
      <c r="C983" s="29"/>
      <c r="D983" s="29"/>
    </row>
    <row r="984" spans="1:4" ht="15.75" customHeight="1" x14ac:dyDescent="0.2">
      <c r="A984" s="29"/>
      <c r="B984" s="29"/>
      <c r="C984" s="29"/>
      <c r="D984" s="29"/>
    </row>
    <row r="985" spans="1:4" ht="15.75" customHeight="1" x14ac:dyDescent="0.2">
      <c r="A985" s="29"/>
      <c r="B985" s="29"/>
      <c r="C985" s="29"/>
      <c r="D985" s="29"/>
    </row>
    <row r="986" spans="1:4" ht="15.75" customHeight="1" x14ac:dyDescent="0.2">
      <c r="A986" s="29"/>
      <c r="B986" s="29"/>
      <c r="C986" s="29"/>
      <c r="D986" s="29"/>
    </row>
    <row r="987" spans="1:4" ht="15.75" customHeight="1" x14ac:dyDescent="0.2">
      <c r="A987" s="29"/>
      <c r="B987" s="29"/>
      <c r="C987" s="29"/>
      <c r="D987" s="29"/>
    </row>
    <row r="988" spans="1:4" ht="15.75" customHeight="1" x14ac:dyDescent="0.2">
      <c r="A988" s="29"/>
      <c r="B988" s="29"/>
      <c r="C988" s="29"/>
      <c r="D988" s="29"/>
    </row>
    <row r="989" spans="1:4" ht="15.75" customHeight="1" x14ac:dyDescent="0.2">
      <c r="A989" s="29"/>
      <c r="B989" s="29"/>
      <c r="C989" s="29"/>
      <c r="D989" s="29"/>
    </row>
    <row r="990" spans="1:4" ht="15.75" customHeight="1" x14ac:dyDescent="0.2">
      <c r="A990" s="29"/>
      <c r="B990" s="29"/>
      <c r="C990" s="29"/>
      <c r="D990" s="29"/>
    </row>
    <row r="991" spans="1:4" ht="15.75" customHeight="1" x14ac:dyDescent="0.2">
      <c r="A991" s="29"/>
      <c r="B991" s="29"/>
      <c r="C991" s="29"/>
      <c r="D991" s="29"/>
    </row>
    <row r="992" spans="1:4" ht="15.75" customHeight="1" x14ac:dyDescent="0.2">
      <c r="A992" s="29"/>
      <c r="B992" s="29"/>
      <c r="C992" s="29"/>
      <c r="D992" s="29"/>
    </row>
    <row r="993" spans="1:4" ht="15.75" customHeight="1" x14ac:dyDescent="0.2">
      <c r="A993" s="29"/>
      <c r="B993" s="29"/>
      <c r="C993" s="29"/>
      <c r="D993" s="29"/>
    </row>
    <row r="994" spans="1:4" ht="15.75" customHeight="1" x14ac:dyDescent="0.2">
      <c r="A994" s="29"/>
      <c r="B994" s="29"/>
      <c r="C994" s="29"/>
      <c r="D994" s="29"/>
    </row>
    <row r="995" spans="1:4" ht="15.75" customHeight="1" x14ac:dyDescent="0.2">
      <c r="A995" s="29"/>
      <c r="B995" s="29"/>
      <c r="C995" s="29"/>
      <c r="D995" s="29"/>
    </row>
    <row r="996" spans="1:4" ht="15.75" customHeight="1" x14ac:dyDescent="0.2">
      <c r="A996" s="29"/>
      <c r="B996" s="29"/>
      <c r="C996" s="29"/>
      <c r="D996" s="29"/>
    </row>
    <row r="997" spans="1:4" ht="15.75" customHeight="1" x14ac:dyDescent="0.2">
      <c r="A997" s="29"/>
      <c r="B997" s="29"/>
      <c r="C997" s="29"/>
      <c r="D997" s="29"/>
    </row>
    <row r="998" spans="1:4" ht="15.75" customHeight="1" x14ac:dyDescent="0.2">
      <c r="A998" s="29"/>
      <c r="B998" s="29"/>
      <c r="C998" s="29"/>
      <c r="D998" s="29"/>
    </row>
    <row r="999" spans="1:4" ht="15.75" customHeight="1" x14ac:dyDescent="0.2">
      <c r="A999" s="29"/>
      <c r="B999" s="29"/>
      <c r="C999" s="29"/>
      <c r="D999" s="29"/>
    </row>
    <row r="1000" spans="1:4" ht="15.75" customHeight="1" x14ac:dyDescent="0.2">
      <c r="A1000" s="29"/>
      <c r="B1000" s="29"/>
      <c r="C1000" s="29"/>
      <c r="D1000" s="29"/>
    </row>
  </sheetData>
  <pageMargins left="0.7" right="0.7" top="0.75" bottom="0.75" header="0" footer="0"/>
  <pageSetup orientation="landscape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Q1000"/>
  <sheetViews>
    <sheetView showGridLines="0" tabSelected="1" zoomScale="75" zoomScaleNormal="92" workbookViewId="0">
      <pane ySplit="1" topLeftCell="A7" activePane="bottomLeft" state="frozen"/>
      <selection pane="bottomLeft" activeCell="I7" sqref="I7"/>
    </sheetView>
  </sheetViews>
  <sheetFormatPr baseColWidth="10" defaultColWidth="14.5" defaultRowHeight="15" customHeight="1" x14ac:dyDescent="0.2"/>
  <cols>
    <col min="1" max="1" width="24.83203125" customWidth="1"/>
    <col min="2" max="2" width="18.83203125" bestFit="1" customWidth="1"/>
    <col min="3" max="3" width="15.1640625" style="123" customWidth="1"/>
    <col min="4" max="4" width="14.5" style="107" bestFit="1" customWidth="1"/>
    <col min="5" max="5" width="15" bestFit="1" customWidth="1"/>
    <col min="6" max="6" width="16.6640625" style="107" bestFit="1" customWidth="1"/>
    <col min="7" max="7" width="24.5" customWidth="1"/>
    <col min="8" max="8" width="24.33203125" style="107" customWidth="1"/>
    <col min="9" max="9" width="10.6640625" customWidth="1"/>
    <col min="10" max="10" width="17.6640625" customWidth="1"/>
    <col min="11" max="11" width="26.5" bestFit="1" customWidth="1"/>
    <col min="12" max="12" width="25.6640625" bestFit="1" customWidth="1"/>
    <col min="13" max="13" width="16.6640625" bestFit="1" customWidth="1"/>
    <col min="14" max="14" width="25.6640625" bestFit="1" customWidth="1"/>
    <col min="15" max="15" width="36.6640625" bestFit="1" customWidth="1"/>
    <col min="16" max="16" width="32.6640625" bestFit="1" customWidth="1"/>
    <col min="17" max="17" width="23.1640625" bestFit="1" customWidth="1"/>
    <col min="18" max="26" width="10.6640625" customWidth="1"/>
  </cols>
  <sheetData>
    <row r="1" spans="1:17" x14ac:dyDescent="0.2">
      <c r="A1" s="27"/>
      <c r="B1" s="28"/>
      <c r="C1" s="29"/>
      <c r="D1" s="109"/>
      <c r="E1" s="28"/>
      <c r="F1" s="109"/>
      <c r="G1" s="28"/>
    </row>
    <row r="2" spans="1:17" ht="26" x14ac:dyDescent="0.3">
      <c r="A2" s="160" t="s">
        <v>21</v>
      </c>
      <c r="B2" s="133"/>
      <c r="C2" s="133"/>
      <c r="D2" s="133"/>
      <c r="E2" s="133"/>
      <c r="F2" s="133"/>
      <c r="G2" s="133"/>
      <c r="H2" s="133"/>
      <c r="I2" s="134"/>
    </row>
    <row r="3" spans="1:17" x14ac:dyDescent="0.2">
      <c r="A3" s="27"/>
      <c r="B3" s="28"/>
      <c r="C3" s="29"/>
      <c r="D3" s="109"/>
      <c r="E3" s="28"/>
      <c r="F3" s="109"/>
      <c r="G3" s="28"/>
    </row>
    <row r="4" spans="1:17" x14ac:dyDescent="0.2"/>
    <row r="5" spans="1:17" ht="24" customHeight="1" x14ac:dyDescent="0.2"/>
    <row r="6" spans="1:17" x14ac:dyDescent="0.2"/>
    <row r="7" spans="1:17" ht="50" customHeight="1" x14ac:dyDescent="0.2">
      <c r="B7" s="144" t="s">
        <v>34</v>
      </c>
      <c r="C7" s="157" t="s">
        <v>35</v>
      </c>
      <c r="D7" s="158"/>
      <c r="E7" s="158"/>
      <c r="F7" s="159"/>
      <c r="G7" s="147" t="s">
        <v>39</v>
      </c>
      <c r="H7" s="150" t="s">
        <v>40</v>
      </c>
      <c r="K7" s="92"/>
      <c r="L7" s="93" t="s">
        <v>36</v>
      </c>
      <c r="M7" s="94"/>
      <c r="N7" s="95"/>
      <c r="O7" s="94"/>
      <c r="P7" s="96"/>
      <c r="Q7" s="97"/>
    </row>
    <row r="8" spans="1:17" ht="24" customHeight="1" x14ac:dyDescent="0.3">
      <c r="B8" s="145"/>
      <c r="C8" s="153" t="s">
        <v>38</v>
      </c>
      <c r="D8" s="154"/>
      <c r="E8" s="155" t="s">
        <v>37</v>
      </c>
      <c r="F8" s="156"/>
      <c r="G8" s="148"/>
      <c r="H8" s="151"/>
      <c r="K8" s="92"/>
      <c r="L8" s="98" t="s">
        <v>8</v>
      </c>
      <c r="M8" s="99"/>
      <c r="N8" s="98" t="s">
        <v>9</v>
      </c>
      <c r="O8" s="99"/>
      <c r="P8" s="100" t="s">
        <v>32</v>
      </c>
      <c r="Q8" s="101" t="s">
        <v>31</v>
      </c>
    </row>
    <row r="9" spans="1:17" ht="50" x14ac:dyDescent="0.2">
      <c r="B9" s="146"/>
      <c r="C9" s="91" t="s">
        <v>41</v>
      </c>
      <c r="D9" s="108" t="s">
        <v>29</v>
      </c>
      <c r="E9" s="91" t="s">
        <v>41</v>
      </c>
      <c r="F9" s="110" t="s">
        <v>29</v>
      </c>
      <c r="G9" s="149"/>
      <c r="H9" s="152"/>
      <c r="K9" s="102" t="s">
        <v>34</v>
      </c>
      <c r="L9" s="103" t="s">
        <v>33</v>
      </c>
      <c r="M9" s="104" t="s">
        <v>28</v>
      </c>
      <c r="N9" s="103" t="s">
        <v>33</v>
      </c>
      <c r="O9" s="104" t="s">
        <v>28</v>
      </c>
      <c r="P9" s="105"/>
      <c r="Q9" s="106"/>
    </row>
    <row r="10" spans="1:17" ht="15" customHeight="1" x14ac:dyDescent="0.2">
      <c r="B10" s="117">
        <v>1</v>
      </c>
      <c r="C10" s="124">
        <v>4</v>
      </c>
      <c r="D10" s="161">
        <v>201.40999999999997</v>
      </c>
      <c r="E10" s="118">
        <v>5</v>
      </c>
      <c r="F10" s="164">
        <v>233.41</v>
      </c>
      <c r="G10" s="89">
        <v>9</v>
      </c>
      <c r="H10" s="168">
        <v>434.82</v>
      </c>
      <c r="K10" s="86">
        <v>1</v>
      </c>
      <c r="L10" s="77">
        <v>4</v>
      </c>
      <c r="M10" s="78">
        <v>201.40999999999997</v>
      </c>
      <c r="N10" s="77">
        <v>5</v>
      </c>
      <c r="O10" s="78">
        <v>233.41</v>
      </c>
      <c r="P10">
        <v>9</v>
      </c>
      <c r="Q10" s="83">
        <v>434.82</v>
      </c>
    </row>
    <row r="11" spans="1:17" ht="15" customHeight="1" x14ac:dyDescent="0.2">
      <c r="B11" s="115">
        <v>2</v>
      </c>
      <c r="C11" s="124">
        <v>2</v>
      </c>
      <c r="D11" s="161">
        <v>142.66</v>
      </c>
      <c r="E11" s="118">
        <v>10</v>
      </c>
      <c r="F11" s="165">
        <v>728.96999999999991</v>
      </c>
      <c r="G11" s="90">
        <v>12</v>
      </c>
      <c r="H11" s="169">
        <v>871.63</v>
      </c>
      <c r="K11" s="87">
        <v>2</v>
      </c>
      <c r="L11" s="79">
        <v>2</v>
      </c>
      <c r="M11" s="80">
        <v>142.66</v>
      </c>
      <c r="N11" s="79">
        <v>10</v>
      </c>
      <c r="O11" s="80">
        <v>728.96999999999991</v>
      </c>
      <c r="P11">
        <v>12</v>
      </c>
      <c r="Q11" s="84">
        <v>871.63</v>
      </c>
    </row>
    <row r="12" spans="1:17" ht="15" customHeight="1" x14ac:dyDescent="0.2">
      <c r="B12" s="114">
        <v>3</v>
      </c>
      <c r="C12" s="124">
        <v>5</v>
      </c>
      <c r="D12" s="161">
        <v>360.62</v>
      </c>
      <c r="E12" s="118">
        <v>4</v>
      </c>
      <c r="F12" s="166">
        <v>275.13</v>
      </c>
      <c r="G12" s="89">
        <v>9</v>
      </c>
      <c r="H12" s="170">
        <v>635.75000000000011</v>
      </c>
      <c r="K12" s="87">
        <v>3</v>
      </c>
      <c r="L12" s="79">
        <v>5</v>
      </c>
      <c r="M12" s="80">
        <v>360.62</v>
      </c>
      <c r="N12" s="79">
        <v>4</v>
      </c>
      <c r="O12" s="80">
        <v>275.13</v>
      </c>
      <c r="P12">
        <v>9</v>
      </c>
      <c r="Q12" s="84">
        <v>635.75000000000011</v>
      </c>
    </row>
    <row r="13" spans="1:17" ht="15" customHeight="1" x14ac:dyDescent="0.2">
      <c r="B13" s="115">
        <v>4</v>
      </c>
      <c r="C13" s="124">
        <v>2</v>
      </c>
      <c r="D13" s="161">
        <v>138.84</v>
      </c>
      <c r="E13" s="118">
        <v>4</v>
      </c>
      <c r="F13" s="165">
        <v>272.82</v>
      </c>
      <c r="G13" s="90">
        <v>6</v>
      </c>
      <c r="H13" s="169">
        <v>411.65999999999997</v>
      </c>
      <c r="K13" s="87">
        <v>4</v>
      </c>
      <c r="L13" s="79">
        <v>2</v>
      </c>
      <c r="M13" s="80">
        <v>138.84</v>
      </c>
      <c r="N13" s="79">
        <v>4</v>
      </c>
      <c r="O13" s="80">
        <v>272.82</v>
      </c>
      <c r="P13">
        <v>6</v>
      </c>
      <c r="Q13" s="84">
        <v>411.65999999999997</v>
      </c>
    </row>
    <row r="14" spans="1:17" ht="15" customHeight="1" x14ac:dyDescent="0.2">
      <c r="B14" s="114">
        <v>5</v>
      </c>
      <c r="C14" s="124">
        <v>3</v>
      </c>
      <c r="D14" s="161">
        <v>163.14000000000001</v>
      </c>
      <c r="E14" s="118">
        <v>10</v>
      </c>
      <c r="F14" s="166">
        <v>580.51999999999987</v>
      </c>
      <c r="G14" s="89">
        <v>13</v>
      </c>
      <c r="H14" s="170">
        <v>743.66</v>
      </c>
      <c r="K14" s="87">
        <v>5</v>
      </c>
      <c r="L14" s="79">
        <v>3</v>
      </c>
      <c r="M14" s="80">
        <v>163.14000000000001</v>
      </c>
      <c r="N14" s="79">
        <v>10</v>
      </c>
      <c r="O14" s="80">
        <v>580.51999999999987</v>
      </c>
      <c r="P14">
        <v>13</v>
      </c>
      <c r="Q14" s="84">
        <v>743.66</v>
      </c>
    </row>
    <row r="15" spans="1:17" ht="15" customHeight="1" x14ac:dyDescent="0.2">
      <c r="B15" s="115">
        <v>6</v>
      </c>
      <c r="C15" s="124">
        <v>6</v>
      </c>
      <c r="D15" s="161">
        <v>338.63000000000005</v>
      </c>
      <c r="E15" s="118">
        <v>4</v>
      </c>
      <c r="F15" s="165">
        <v>248.14</v>
      </c>
      <c r="G15" s="90">
        <v>10</v>
      </c>
      <c r="H15" s="169">
        <v>586.77</v>
      </c>
      <c r="K15" s="87">
        <v>6</v>
      </c>
      <c r="L15" s="79">
        <v>6</v>
      </c>
      <c r="M15" s="80">
        <v>338.63000000000005</v>
      </c>
      <c r="N15" s="79">
        <v>4</v>
      </c>
      <c r="O15" s="80">
        <v>248.14</v>
      </c>
      <c r="P15">
        <v>10</v>
      </c>
      <c r="Q15" s="84">
        <v>586.77</v>
      </c>
    </row>
    <row r="16" spans="1:17" ht="15" customHeight="1" x14ac:dyDescent="0.2">
      <c r="B16" s="114">
        <v>7</v>
      </c>
      <c r="C16" s="124">
        <v>8</v>
      </c>
      <c r="D16" s="161">
        <v>536.26999999999987</v>
      </c>
      <c r="E16" s="118">
        <v>8</v>
      </c>
      <c r="F16" s="166">
        <v>320.98999999999995</v>
      </c>
      <c r="G16" s="89">
        <v>16</v>
      </c>
      <c r="H16" s="170">
        <v>857.25999999999976</v>
      </c>
      <c r="K16" s="87">
        <v>7</v>
      </c>
      <c r="L16" s="79">
        <v>8</v>
      </c>
      <c r="M16" s="80">
        <v>536.26999999999987</v>
      </c>
      <c r="N16" s="79">
        <v>8</v>
      </c>
      <c r="O16" s="80">
        <v>320.98999999999995</v>
      </c>
      <c r="P16">
        <v>16</v>
      </c>
      <c r="Q16" s="84">
        <v>857.25999999999976</v>
      </c>
    </row>
    <row r="17" spans="1:17" x14ac:dyDescent="0.2">
      <c r="A17" s="27"/>
      <c r="B17" s="115">
        <v>8</v>
      </c>
      <c r="C17" s="124">
        <v>2</v>
      </c>
      <c r="D17" s="161">
        <v>136.15</v>
      </c>
      <c r="E17" s="118">
        <v>7</v>
      </c>
      <c r="F17" s="165">
        <v>373.76000000000005</v>
      </c>
      <c r="G17" s="90">
        <v>9</v>
      </c>
      <c r="H17" s="169">
        <v>509.91</v>
      </c>
      <c r="K17" s="87">
        <v>8</v>
      </c>
      <c r="L17" s="79">
        <v>2</v>
      </c>
      <c r="M17" s="80">
        <v>136.15</v>
      </c>
      <c r="N17" s="79">
        <v>7</v>
      </c>
      <c r="O17" s="80">
        <v>373.76000000000005</v>
      </c>
      <c r="P17">
        <v>9</v>
      </c>
      <c r="Q17" s="84">
        <v>509.91</v>
      </c>
    </row>
    <row r="18" spans="1:17" x14ac:dyDescent="0.2">
      <c r="A18" s="27"/>
      <c r="B18" s="114">
        <v>9</v>
      </c>
      <c r="C18" s="124">
        <v>5</v>
      </c>
      <c r="D18" s="161">
        <v>273.39</v>
      </c>
      <c r="E18" s="118">
        <v>11</v>
      </c>
      <c r="F18" s="166">
        <v>608.84</v>
      </c>
      <c r="G18" s="89">
        <v>16</v>
      </c>
      <c r="H18" s="170">
        <v>882.2299999999999</v>
      </c>
      <c r="K18" s="87">
        <v>9</v>
      </c>
      <c r="L18" s="79">
        <v>5</v>
      </c>
      <c r="M18" s="80">
        <v>273.39</v>
      </c>
      <c r="N18" s="79">
        <v>11</v>
      </c>
      <c r="O18" s="80">
        <v>608.84</v>
      </c>
      <c r="P18">
        <v>16</v>
      </c>
      <c r="Q18" s="84">
        <v>882.2299999999999</v>
      </c>
    </row>
    <row r="19" spans="1:17" x14ac:dyDescent="0.2">
      <c r="A19" s="27"/>
      <c r="B19" s="115">
        <v>10</v>
      </c>
      <c r="C19" s="124">
        <v>5</v>
      </c>
      <c r="D19" s="161">
        <v>223.78</v>
      </c>
      <c r="E19" s="118">
        <v>10</v>
      </c>
      <c r="F19" s="165">
        <v>523.89</v>
      </c>
      <c r="G19" s="90">
        <v>15</v>
      </c>
      <c r="H19" s="169">
        <v>747.67000000000007</v>
      </c>
      <c r="K19" s="87">
        <v>10</v>
      </c>
      <c r="L19" s="79">
        <v>5</v>
      </c>
      <c r="M19" s="80">
        <v>223.78</v>
      </c>
      <c r="N19" s="79">
        <v>10</v>
      </c>
      <c r="O19" s="80">
        <v>523.89</v>
      </c>
      <c r="P19">
        <v>15</v>
      </c>
      <c r="Q19" s="84">
        <v>747.67000000000007</v>
      </c>
    </row>
    <row r="20" spans="1:17" x14ac:dyDescent="0.2">
      <c r="A20" s="27"/>
      <c r="B20" s="114">
        <v>11</v>
      </c>
      <c r="C20" s="124">
        <v>3</v>
      </c>
      <c r="D20" s="161">
        <v>150.74</v>
      </c>
      <c r="E20" s="118">
        <v>2</v>
      </c>
      <c r="F20" s="166">
        <v>99.86</v>
      </c>
      <c r="G20" s="89">
        <v>5</v>
      </c>
      <c r="H20" s="170">
        <v>250.6</v>
      </c>
      <c r="K20" s="87">
        <v>11</v>
      </c>
      <c r="L20" s="79">
        <v>3</v>
      </c>
      <c r="M20" s="80">
        <v>150.74</v>
      </c>
      <c r="N20" s="79">
        <v>2</v>
      </c>
      <c r="O20" s="80">
        <v>99.86</v>
      </c>
      <c r="P20">
        <v>5</v>
      </c>
      <c r="Q20" s="84">
        <v>250.6</v>
      </c>
    </row>
    <row r="21" spans="1:17" ht="15.75" customHeight="1" x14ac:dyDescent="0.2">
      <c r="A21" s="27"/>
      <c r="B21" s="115">
        <v>12</v>
      </c>
      <c r="C21" s="124">
        <v>3</v>
      </c>
      <c r="D21" s="161">
        <v>182.85000000000002</v>
      </c>
      <c r="E21" s="118">
        <v>5</v>
      </c>
      <c r="F21" s="165">
        <v>260.83</v>
      </c>
      <c r="G21" s="90">
        <v>8</v>
      </c>
      <c r="H21" s="169">
        <v>443.68</v>
      </c>
      <c r="K21" s="87">
        <v>12</v>
      </c>
      <c r="L21" s="79">
        <v>3</v>
      </c>
      <c r="M21" s="80">
        <v>182.85000000000002</v>
      </c>
      <c r="N21" s="79">
        <v>5</v>
      </c>
      <c r="O21" s="80">
        <v>260.83</v>
      </c>
      <c r="P21">
        <v>8</v>
      </c>
      <c r="Q21" s="84">
        <v>443.68</v>
      </c>
    </row>
    <row r="22" spans="1:17" ht="15.75" customHeight="1" x14ac:dyDescent="0.2">
      <c r="A22" s="27"/>
      <c r="B22" s="114">
        <v>13</v>
      </c>
      <c r="C22" s="124">
        <v>4</v>
      </c>
      <c r="D22" s="161">
        <v>284.57</v>
      </c>
      <c r="E22" s="118">
        <v>7</v>
      </c>
      <c r="F22" s="166">
        <v>311.83</v>
      </c>
      <c r="G22" s="89">
        <v>11</v>
      </c>
      <c r="H22" s="170">
        <v>596.4</v>
      </c>
      <c r="K22" s="87">
        <v>13</v>
      </c>
      <c r="L22" s="79">
        <v>4</v>
      </c>
      <c r="M22" s="80">
        <v>284.57</v>
      </c>
      <c r="N22" s="79">
        <v>7</v>
      </c>
      <c r="O22" s="80">
        <v>311.83</v>
      </c>
      <c r="P22">
        <v>11</v>
      </c>
      <c r="Q22" s="84">
        <v>596.4</v>
      </c>
    </row>
    <row r="23" spans="1:17" ht="15.75" customHeight="1" x14ac:dyDescent="0.2">
      <c r="A23" s="27"/>
      <c r="B23" s="115">
        <v>14</v>
      </c>
      <c r="C23" s="124">
        <v>4</v>
      </c>
      <c r="D23" s="161">
        <v>273.78000000000003</v>
      </c>
      <c r="E23" s="118">
        <v>10</v>
      </c>
      <c r="F23" s="165">
        <v>612.15000000000009</v>
      </c>
      <c r="G23" s="90">
        <v>14</v>
      </c>
      <c r="H23" s="169">
        <v>885.93000000000018</v>
      </c>
      <c r="K23" s="87">
        <v>14</v>
      </c>
      <c r="L23" s="79">
        <v>4</v>
      </c>
      <c r="M23" s="80">
        <v>273.78000000000003</v>
      </c>
      <c r="N23" s="79">
        <v>10</v>
      </c>
      <c r="O23" s="80">
        <v>612.15000000000009</v>
      </c>
      <c r="P23">
        <v>14</v>
      </c>
      <c r="Q23" s="84">
        <v>885.93000000000018</v>
      </c>
    </row>
    <row r="24" spans="1:17" ht="15.75" customHeight="1" x14ac:dyDescent="0.2">
      <c r="A24" s="27"/>
      <c r="B24" s="114">
        <v>15</v>
      </c>
      <c r="C24" s="124">
        <v>3</v>
      </c>
      <c r="D24" s="161">
        <v>190.66</v>
      </c>
      <c r="E24" s="118">
        <v>13</v>
      </c>
      <c r="F24" s="166">
        <v>872.33999999999992</v>
      </c>
      <c r="G24" s="89">
        <v>16</v>
      </c>
      <c r="H24" s="170">
        <v>1063</v>
      </c>
      <c r="K24" s="87">
        <v>15</v>
      </c>
      <c r="L24" s="79">
        <v>3</v>
      </c>
      <c r="M24" s="80">
        <v>190.66</v>
      </c>
      <c r="N24" s="79">
        <v>13</v>
      </c>
      <c r="O24" s="80">
        <v>872.33999999999992</v>
      </c>
      <c r="P24">
        <v>16</v>
      </c>
      <c r="Q24" s="84">
        <v>1063</v>
      </c>
    </row>
    <row r="25" spans="1:17" ht="15.75" customHeight="1" x14ac:dyDescent="0.2">
      <c r="A25" s="27"/>
      <c r="B25" s="115">
        <v>16</v>
      </c>
      <c r="C25" s="124">
        <v>6</v>
      </c>
      <c r="D25" s="161">
        <v>378.16</v>
      </c>
      <c r="E25" s="118">
        <v>8</v>
      </c>
      <c r="F25" s="165">
        <v>588.88</v>
      </c>
      <c r="G25" s="90">
        <v>14</v>
      </c>
      <c r="H25" s="169">
        <v>967.04</v>
      </c>
      <c r="K25" s="87">
        <v>16</v>
      </c>
      <c r="L25" s="79">
        <v>6</v>
      </c>
      <c r="M25" s="80">
        <v>378.16</v>
      </c>
      <c r="N25" s="79">
        <v>8</v>
      </c>
      <c r="O25" s="80">
        <v>588.88</v>
      </c>
      <c r="P25">
        <v>14</v>
      </c>
      <c r="Q25" s="84">
        <v>967.04</v>
      </c>
    </row>
    <row r="26" spans="1:17" ht="15.75" customHeight="1" x14ac:dyDescent="0.2">
      <c r="A26" s="27"/>
      <c r="B26" s="114">
        <v>17</v>
      </c>
      <c r="C26" s="124">
        <v>3</v>
      </c>
      <c r="D26" s="161">
        <v>125.60999999999999</v>
      </c>
      <c r="E26" s="118">
        <v>13</v>
      </c>
      <c r="F26" s="166">
        <v>783.24999999999989</v>
      </c>
      <c r="G26" s="89">
        <v>16</v>
      </c>
      <c r="H26" s="170">
        <v>908.8599999999999</v>
      </c>
      <c r="K26" s="87">
        <v>17</v>
      </c>
      <c r="L26" s="79">
        <v>3</v>
      </c>
      <c r="M26" s="80">
        <v>125.60999999999999</v>
      </c>
      <c r="N26" s="79">
        <v>13</v>
      </c>
      <c r="O26" s="80">
        <v>783.24999999999989</v>
      </c>
      <c r="P26">
        <v>16</v>
      </c>
      <c r="Q26" s="84">
        <v>908.8599999999999</v>
      </c>
    </row>
    <row r="27" spans="1:17" ht="15.75" customHeight="1" x14ac:dyDescent="0.2">
      <c r="A27" s="27"/>
      <c r="B27" s="115">
        <v>18</v>
      </c>
      <c r="C27" s="124">
        <v>8</v>
      </c>
      <c r="D27" s="161">
        <v>531.19000000000005</v>
      </c>
      <c r="E27" s="118">
        <v>7</v>
      </c>
      <c r="F27" s="165">
        <v>483.06</v>
      </c>
      <c r="G27" s="90">
        <v>15</v>
      </c>
      <c r="H27" s="169">
        <v>1014.25</v>
      </c>
      <c r="K27" s="87">
        <v>18</v>
      </c>
      <c r="L27" s="79">
        <v>8</v>
      </c>
      <c r="M27" s="80">
        <v>531.19000000000005</v>
      </c>
      <c r="N27" s="79">
        <v>7</v>
      </c>
      <c r="O27" s="80">
        <v>483.06</v>
      </c>
      <c r="P27">
        <v>15</v>
      </c>
      <c r="Q27" s="84">
        <v>1014.25</v>
      </c>
    </row>
    <row r="28" spans="1:17" ht="15.75" customHeight="1" x14ac:dyDescent="0.2">
      <c r="A28" s="27"/>
      <c r="B28" s="114">
        <v>19</v>
      </c>
      <c r="C28" s="124">
        <v>3</v>
      </c>
      <c r="D28" s="161">
        <v>169.84</v>
      </c>
      <c r="E28" s="118">
        <v>11</v>
      </c>
      <c r="F28" s="166">
        <v>531.19000000000005</v>
      </c>
      <c r="G28" s="89">
        <v>14</v>
      </c>
      <c r="H28" s="170">
        <v>701.03</v>
      </c>
      <c r="K28" s="87">
        <v>19</v>
      </c>
      <c r="L28" s="79">
        <v>3</v>
      </c>
      <c r="M28" s="80">
        <v>169.84</v>
      </c>
      <c r="N28" s="79">
        <v>11</v>
      </c>
      <c r="O28" s="80">
        <v>531.19000000000005</v>
      </c>
      <c r="P28">
        <v>14</v>
      </c>
      <c r="Q28" s="84">
        <v>701.03</v>
      </c>
    </row>
    <row r="29" spans="1:17" ht="15.75" customHeight="1" x14ac:dyDescent="0.2">
      <c r="A29" s="27"/>
      <c r="B29" s="115">
        <v>20</v>
      </c>
      <c r="C29" s="124">
        <v>6</v>
      </c>
      <c r="D29" s="161">
        <v>368.8</v>
      </c>
      <c r="E29" s="118">
        <v>12</v>
      </c>
      <c r="F29" s="165">
        <v>779.14999999999986</v>
      </c>
      <c r="G29" s="90">
        <v>18</v>
      </c>
      <c r="H29" s="169">
        <v>1147.95</v>
      </c>
      <c r="K29" s="87">
        <v>20</v>
      </c>
      <c r="L29" s="79">
        <v>6</v>
      </c>
      <c r="M29" s="80">
        <v>368.8</v>
      </c>
      <c r="N29" s="79">
        <v>12</v>
      </c>
      <c r="O29" s="80">
        <v>779.14999999999986</v>
      </c>
      <c r="P29">
        <v>18</v>
      </c>
      <c r="Q29" s="84">
        <v>1147.95</v>
      </c>
    </row>
    <row r="30" spans="1:17" ht="15.75" customHeight="1" x14ac:dyDescent="0.2">
      <c r="A30" s="27"/>
      <c r="B30" s="114">
        <v>21</v>
      </c>
      <c r="C30" s="124" t="s">
        <v>42</v>
      </c>
      <c r="D30" s="161" t="s">
        <v>42</v>
      </c>
      <c r="E30" s="118">
        <v>10</v>
      </c>
      <c r="F30" s="166">
        <v>573.63</v>
      </c>
      <c r="G30" s="89">
        <v>10</v>
      </c>
      <c r="H30" s="170">
        <v>573.63</v>
      </c>
      <c r="K30" s="87">
        <v>21</v>
      </c>
      <c r="L30" s="79"/>
      <c r="M30" s="80"/>
      <c r="N30" s="79">
        <v>10</v>
      </c>
      <c r="O30" s="80">
        <v>573.63</v>
      </c>
      <c r="P30">
        <v>10</v>
      </c>
      <c r="Q30" s="84">
        <v>573.63</v>
      </c>
    </row>
    <row r="31" spans="1:17" ht="15.75" customHeight="1" x14ac:dyDescent="0.2">
      <c r="A31" s="27"/>
      <c r="B31" s="115">
        <v>22</v>
      </c>
      <c r="C31" s="124">
        <v>5</v>
      </c>
      <c r="D31" s="161">
        <v>291.37</v>
      </c>
      <c r="E31" s="118">
        <v>10</v>
      </c>
      <c r="F31" s="165">
        <v>743.33</v>
      </c>
      <c r="G31" s="90">
        <v>15</v>
      </c>
      <c r="H31" s="169">
        <v>1034.7</v>
      </c>
      <c r="K31" s="87">
        <v>22</v>
      </c>
      <c r="L31" s="79">
        <v>5</v>
      </c>
      <c r="M31" s="80">
        <v>291.37</v>
      </c>
      <c r="N31" s="79">
        <v>10</v>
      </c>
      <c r="O31" s="80">
        <v>743.33</v>
      </c>
      <c r="P31">
        <v>15</v>
      </c>
      <c r="Q31" s="84">
        <v>1034.7</v>
      </c>
    </row>
    <row r="32" spans="1:17" ht="15.75" customHeight="1" x14ac:dyDescent="0.2">
      <c r="A32" s="27"/>
      <c r="B32" s="114">
        <v>23</v>
      </c>
      <c r="C32" s="124">
        <v>8</v>
      </c>
      <c r="D32" s="161">
        <v>418.84</v>
      </c>
      <c r="E32" s="118">
        <v>7</v>
      </c>
      <c r="F32" s="166">
        <v>415.29999999999995</v>
      </c>
      <c r="G32" s="89">
        <v>15</v>
      </c>
      <c r="H32" s="170">
        <v>834.14</v>
      </c>
      <c r="K32" s="87">
        <v>23</v>
      </c>
      <c r="L32" s="79">
        <v>8</v>
      </c>
      <c r="M32" s="80">
        <v>418.84</v>
      </c>
      <c r="N32" s="79">
        <v>7</v>
      </c>
      <c r="O32" s="80">
        <v>415.29999999999995</v>
      </c>
      <c r="P32">
        <v>15</v>
      </c>
      <c r="Q32" s="84">
        <v>834.14</v>
      </c>
    </row>
    <row r="33" spans="1:17" ht="15.75" customHeight="1" x14ac:dyDescent="0.2">
      <c r="A33" s="27"/>
      <c r="B33" s="115">
        <v>24</v>
      </c>
      <c r="C33" s="124">
        <v>10</v>
      </c>
      <c r="D33" s="161">
        <v>631.71</v>
      </c>
      <c r="E33" s="118">
        <v>14</v>
      </c>
      <c r="F33" s="165">
        <v>878.62000000000012</v>
      </c>
      <c r="G33" s="90">
        <v>24</v>
      </c>
      <c r="H33" s="169">
        <v>1510.3300000000002</v>
      </c>
      <c r="K33" s="87">
        <v>24</v>
      </c>
      <c r="L33" s="79">
        <v>10</v>
      </c>
      <c r="M33" s="80">
        <v>631.71</v>
      </c>
      <c r="N33" s="79">
        <v>14</v>
      </c>
      <c r="O33" s="80">
        <v>878.62000000000012</v>
      </c>
      <c r="P33">
        <v>24</v>
      </c>
      <c r="Q33" s="84">
        <v>1510.3300000000002</v>
      </c>
    </row>
    <row r="34" spans="1:17" ht="15.75" customHeight="1" x14ac:dyDescent="0.2">
      <c r="A34" s="27"/>
      <c r="B34" s="114">
        <v>25</v>
      </c>
      <c r="C34" s="124">
        <v>5</v>
      </c>
      <c r="D34" s="161">
        <v>368.74</v>
      </c>
      <c r="E34" s="118">
        <v>18</v>
      </c>
      <c r="F34" s="166">
        <v>1028.4100000000001</v>
      </c>
      <c r="G34" s="89">
        <v>23</v>
      </c>
      <c r="H34" s="170">
        <v>1397.1499999999999</v>
      </c>
      <c r="K34" s="87">
        <v>25</v>
      </c>
      <c r="L34" s="79">
        <v>5</v>
      </c>
      <c r="M34" s="80">
        <v>368.74</v>
      </c>
      <c r="N34" s="79">
        <v>18</v>
      </c>
      <c r="O34" s="80">
        <v>1028.4100000000001</v>
      </c>
      <c r="P34">
        <v>23</v>
      </c>
      <c r="Q34" s="84">
        <v>1397.1499999999999</v>
      </c>
    </row>
    <row r="35" spans="1:17" ht="15.75" customHeight="1" x14ac:dyDescent="0.2">
      <c r="A35" s="27"/>
      <c r="B35" s="115">
        <v>26</v>
      </c>
      <c r="C35" s="124">
        <v>10</v>
      </c>
      <c r="D35" s="161">
        <v>619.50999999999988</v>
      </c>
      <c r="E35" s="118">
        <v>11</v>
      </c>
      <c r="F35" s="165">
        <v>719.24000000000012</v>
      </c>
      <c r="G35" s="90">
        <v>21</v>
      </c>
      <c r="H35" s="169">
        <v>1338.7499999999998</v>
      </c>
      <c r="K35" s="87">
        <v>26</v>
      </c>
      <c r="L35" s="79">
        <v>10</v>
      </c>
      <c r="M35" s="80">
        <v>619.50999999999988</v>
      </c>
      <c r="N35" s="79">
        <v>11</v>
      </c>
      <c r="O35" s="80">
        <v>719.24000000000012</v>
      </c>
      <c r="P35">
        <v>21</v>
      </c>
      <c r="Q35" s="84">
        <v>1338.7499999999998</v>
      </c>
    </row>
    <row r="36" spans="1:17" ht="15.75" customHeight="1" x14ac:dyDescent="0.2">
      <c r="A36" s="27"/>
      <c r="B36" s="114">
        <v>27</v>
      </c>
      <c r="C36" s="124">
        <v>7</v>
      </c>
      <c r="D36" s="161">
        <v>364.6</v>
      </c>
      <c r="E36" s="118">
        <v>10</v>
      </c>
      <c r="F36" s="166">
        <v>570.93000000000006</v>
      </c>
      <c r="G36" s="89">
        <v>17</v>
      </c>
      <c r="H36" s="170">
        <v>935.5300000000002</v>
      </c>
      <c r="K36" s="87">
        <v>27</v>
      </c>
      <c r="L36" s="79">
        <v>7</v>
      </c>
      <c r="M36" s="80">
        <v>364.6</v>
      </c>
      <c r="N36" s="79">
        <v>10</v>
      </c>
      <c r="O36" s="80">
        <v>570.93000000000006</v>
      </c>
      <c r="P36">
        <v>17</v>
      </c>
      <c r="Q36" s="84">
        <v>935.5300000000002</v>
      </c>
    </row>
    <row r="37" spans="1:17" ht="15.75" customHeight="1" x14ac:dyDescent="0.2">
      <c r="A37" s="27"/>
      <c r="B37" s="115">
        <v>28</v>
      </c>
      <c r="C37" s="124">
        <v>9</v>
      </c>
      <c r="D37" s="161">
        <v>544.32000000000005</v>
      </c>
      <c r="E37" s="118">
        <v>8</v>
      </c>
      <c r="F37" s="165">
        <v>481.02</v>
      </c>
      <c r="G37" s="90">
        <v>17</v>
      </c>
      <c r="H37" s="169">
        <v>1025.3400000000001</v>
      </c>
      <c r="K37" s="87">
        <v>28</v>
      </c>
      <c r="L37" s="79">
        <v>9</v>
      </c>
      <c r="M37" s="80">
        <v>544.32000000000005</v>
      </c>
      <c r="N37" s="79">
        <v>8</v>
      </c>
      <c r="O37" s="80">
        <v>481.02</v>
      </c>
      <c r="P37">
        <v>17</v>
      </c>
      <c r="Q37" s="84">
        <v>1025.3400000000001</v>
      </c>
    </row>
    <row r="38" spans="1:17" ht="15.75" customHeight="1" x14ac:dyDescent="0.2">
      <c r="A38" s="27"/>
      <c r="B38" s="114">
        <v>29</v>
      </c>
      <c r="C38" s="124">
        <v>5</v>
      </c>
      <c r="D38" s="161">
        <v>256.71999999999997</v>
      </c>
      <c r="E38" s="118">
        <v>11</v>
      </c>
      <c r="F38" s="166">
        <v>541.62000000000012</v>
      </c>
      <c r="G38" s="89">
        <v>16</v>
      </c>
      <c r="H38" s="170">
        <v>798.3399999999998</v>
      </c>
      <c r="K38" s="87">
        <v>29</v>
      </c>
      <c r="L38" s="79">
        <v>5</v>
      </c>
      <c r="M38" s="80">
        <v>256.71999999999997</v>
      </c>
      <c r="N38" s="79">
        <v>11</v>
      </c>
      <c r="O38" s="80">
        <v>541.62000000000012</v>
      </c>
      <c r="P38">
        <v>16</v>
      </c>
      <c r="Q38" s="84">
        <v>798.3399999999998</v>
      </c>
    </row>
    <row r="39" spans="1:17" ht="15.75" customHeight="1" x14ac:dyDescent="0.2">
      <c r="A39" s="27"/>
      <c r="B39" s="115">
        <v>30</v>
      </c>
      <c r="C39" s="124">
        <v>8</v>
      </c>
      <c r="D39" s="161">
        <v>481.38999999999993</v>
      </c>
      <c r="E39" s="118">
        <v>10</v>
      </c>
      <c r="F39" s="165">
        <v>519.32999999999993</v>
      </c>
      <c r="G39" s="90">
        <v>18</v>
      </c>
      <c r="H39" s="169">
        <v>1000.72</v>
      </c>
      <c r="K39" s="87">
        <v>30</v>
      </c>
      <c r="L39" s="79">
        <v>8</v>
      </c>
      <c r="M39" s="80">
        <v>481.38999999999993</v>
      </c>
      <c r="N39" s="79">
        <v>10</v>
      </c>
      <c r="O39" s="80">
        <v>519.32999999999993</v>
      </c>
      <c r="P39">
        <v>18</v>
      </c>
      <c r="Q39" s="84">
        <v>1000.72</v>
      </c>
    </row>
    <row r="40" spans="1:17" ht="15.75" customHeight="1" x14ac:dyDescent="0.2">
      <c r="A40" s="27"/>
      <c r="B40" s="114">
        <v>31</v>
      </c>
      <c r="C40" s="124">
        <v>11</v>
      </c>
      <c r="D40" s="161">
        <v>589.95999999999992</v>
      </c>
      <c r="E40" s="118">
        <v>8</v>
      </c>
      <c r="F40" s="166">
        <v>525.25</v>
      </c>
      <c r="G40" s="89">
        <v>19</v>
      </c>
      <c r="H40" s="170">
        <v>1115.21</v>
      </c>
      <c r="K40" s="87">
        <v>31</v>
      </c>
      <c r="L40" s="79">
        <v>11</v>
      </c>
      <c r="M40" s="80">
        <v>589.95999999999992</v>
      </c>
      <c r="N40" s="79">
        <v>8</v>
      </c>
      <c r="O40" s="80">
        <v>525.25</v>
      </c>
      <c r="P40">
        <v>19</v>
      </c>
      <c r="Q40" s="84">
        <v>1115.21</v>
      </c>
    </row>
    <row r="41" spans="1:17" ht="15.75" customHeight="1" x14ac:dyDescent="0.2">
      <c r="A41" s="27"/>
      <c r="B41" s="115">
        <v>32</v>
      </c>
      <c r="C41" s="124" t="s">
        <v>42</v>
      </c>
      <c r="D41" s="161" t="s">
        <v>42</v>
      </c>
      <c r="E41" s="118">
        <v>11</v>
      </c>
      <c r="F41" s="165">
        <v>742.90999999999985</v>
      </c>
      <c r="G41" s="90">
        <v>11</v>
      </c>
      <c r="H41" s="169">
        <v>742.90999999999985</v>
      </c>
      <c r="K41" s="87">
        <v>32</v>
      </c>
      <c r="L41" s="79"/>
      <c r="M41" s="80"/>
      <c r="N41" s="79">
        <v>11</v>
      </c>
      <c r="O41" s="80">
        <v>742.90999999999985</v>
      </c>
      <c r="P41">
        <v>11</v>
      </c>
      <c r="Q41" s="84">
        <v>742.90999999999985</v>
      </c>
    </row>
    <row r="42" spans="1:17" ht="15.75" customHeight="1" x14ac:dyDescent="0.2">
      <c r="A42" s="27"/>
      <c r="B42" s="114">
        <v>33</v>
      </c>
      <c r="C42" s="124">
        <v>4</v>
      </c>
      <c r="D42" s="161">
        <v>246.23</v>
      </c>
      <c r="E42" s="118">
        <v>4</v>
      </c>
      <c r="F42" s="166">
        <v>304.17</v>
      </c>
      <c r="G42" s="89">
        <v>8</v>
      </c>
      <c r="H42" s="170">
        <v>550.4</v>
      </c>
      <c r="K42" s="87">
        <v>33</v>
      </c>
      <c r="L42" s="79">
        <v>4</v>
      </c>
      <c r="M42" s="80">
        <v>246.23</v>
      </c>
      <c r="N42" s="79">
        <v>4</v>
      </c>
      <c r="O42" s="80">
        <v>304.17</v>
      </c>
      <c r="P42">
        <v>8</v>
      </c>
      <c r="Q42" s="84">
        <v>550.4</v>
      </c>
    </row>
    <row r="43" spans="1:17" ht="15.75" customHeight="1" x14ac:dyDescent="0.2">
      <c r="A43" s="27"/>
      <c r="B43" s="115">
        <v>34</v>
      </c>
      <c r="C43" s="124">
        <v>8</v>
      </c>
      <c r="D43" s="161">
        <v>463.87</v>
      </c>
      <c r="E43" s="118">
        <v>6</v>
      </c>
      <c r="F43" s="165">
        <v>299.14999999999998</v>
      </c>
      <c r="G43" s="90">
        <v>14</v>
      </c>
      <c r="H43" s="169">
        <v>763.02</v>
      </c>
      <c r="K43" s="87">
        <v>34</v>
      </c>
      <c r="L43" s="79">
        <v>8</v>
      </c>
      <c r="M43" s="80">
        <v>463.87</v>
      </c>
      <c r="N43" s="79">
        <v>6</v>
      </c>
      <c r="O43" s="80">
        <v>299.14999999999998</v>
      </c>
      <c r="P43">
        <v>14</v>
      </c>
      <c r="Q43" s="84">
        <v>763.02</v>
      </c>
    </row>
    <row r="44" spans="1:17" ht="15.75" customHeight="1" x14ac:dyDescent="0.2">
      <c r="A44" s="27"/>
      <c r="B44" s="114">
        <v>35</v>
      </c>
      <c r="C44" s="124">
        <v>7</v>
      </c>
      <c r="D44" s="161">
        <v>482.34</v>
      </c>
      <c r="E44" s="118">
        <v>9</v>
      </c>
      <c r="F44" s="166">
        <v>639.66</v>
      </c>
      <c r="G44" s="89">
        <v>16</v>
      </c>
      <c r="H44" s="170">
        <v>1121.9999999999998</v>
      </c>
      <c r="K44" s="87">
        <v>35</v>
      </c>
      <c r="L44" s="79">
        <v>7</v>
      </c>
      <c r="M44" s="80">
        <v>482.34</v>
      </c>
      <c r="N44" s="79">
        <v>9</v>
      </c>
      <c r="O44" s="80">
        <v>639.66</v>
      </c>
      <c r="P44">
        <v>16</v>
      </c>
      <c r="Q44" s="84">
        <v>1121.9999999999998</v>
      </c>
    </row>
    <row r="45" spans="1:17" ht="15.75" customHeight="1" x14ac:dyDescent="0.2">
      <c r="A45" s="27"/>
      <c r="B45" s="115">
        <v>36</v>
      </c>
      <c r="C45" s="124">
        <v>8</v>
      </c>
      <c r="D45" s="161">
        <v>505.64</v>
      </c>
      <c r="E45" s="118">
        <v>11</v>
      </c>
      <c r="F45" s="165">
        <v>729.20999999999992</v>
      </c>
      <c r="G45" s="90">
        <v>19</v>
      </c>
      <c r="H45" s="169">
        <v>1234.8499999999997</v>
      </c>
      <c r="K45" s="87">
        <v>36</v>
      </c>
      <c r="L45" s="79">
        <v>8</v>
      </c>
      <c r="M45" s="80">
        <v>505.64</v>
      </c>
      <c r="N45" s="79">
        <v>11</v>
      </c>
      <c r="O45" s="80">
        <v>729.20999999999992</v>
      </c>
      <c r="P45">
        <v>19</v>
      </c>
      <c r="Q45" s="84">
        <v>1234.8499999999997</v>
      </c>
    </row>
    <row r="46" spans="1:17" ht="15.75" customHeight="1" x14ac:dyDescent="0.2">
      <c r="A46" s="27"/>
      <c r="B46" s="114">
        <v>37</v>
      </c>
      <c r="C46" s="124">
        <v>2</v>
      </c>
      <c r="D46" s="161">
        <v>112.71000000000001</v>
      </c>
      <c r="E46" s="118">
        <v>6</v>
      </c>
      <c r="F46" s="166">
        <v>338.86</v>
      </c>
      <c r="G46" s="89">
        <v>8</v>
      </c>
      <c r="H46" s="170">
        <v>451.57000000000005</v>
      </c>
      <c r="K46" s="87">
        <v>37</v>
      </c>
      <c r="L46" s="79">
        <v>2</v>
      </c>
      <c r="M46" s="80">
        <v>112.71000000000001</v>
      </c>
      <c r="N46" s="79">
        <v>6</v>
      </c>
      <c r="O46" s="80">
        <v>338.86</v>
      </c>
      <c r="P46">
        <v>8</v>
      </c>
      <c r="Q46" s="84">
        <v>451.57000000000005</v>
      </c>
    </row>
    <row r="47" spans="1:17" ht="15.75" customHeight="1" x14ac:dyDescent="0.2">
      <c r="A47" s="27"/>
      <c r="B47" s="115">
        <v>38</v>
      </c>
      <c r="C47" s="124">
        <v>10</v>
      </c>
      <c r="D47" s="161">
        <v>568.76</v>
      </c>
      <c r="E47" s="118">
        <v>9</v>
      </c>
      <c r="F47" s="165">
        <v>526.25</v>
      </c>
      <c r="G47" s="90">
        <v>19</v>
      </c>
      <c r="H47" s="169">
        <v>1095.01</v>
      </c>
      <c r="K47" s="87">
        <v>38</v>
      </c>
      <c r="L47" s="79">
        <v>10</v>
      </c>
      <c r="M47" s="80">
        <v>568.76</v>
      </c>
      <c r="N47" s="79">
        <v>9</v>
      </c>
      <c r="O47" s="80">
        <v>526.25</v>
      </c>
      <c r="P47">
        <v>19</v>
      </c>
      <c r="Q47" s="84">
        <v>1095.01</v>
      </c>
    </row>
    <row r="48" spans="1:17" ht="15.75" customHeight="1" x14ac:dyDescent="0.2">
      <c r="A48" s="27"/>
      <c r="B48" s="114">
        <v>39</v>
      </c>
      <c r="C48" s="124">
        <v>4</v>
      </c>
      <c r="D48" s="161">
        <v>231.14</v>
      </c>
      <c r="E48" s="118">
        <v>5</v>
      </c>
      <c r="F48" s="166">
        <v>311.79000000000002</v>
      </c>
      <c r="G48" s="89">
        <v>9</v>
      </c>
      <c r="H48" s="170">
        <v>542.92999999999995</v>
      </c>
      <c r="K48" s="87">
        <v>39</v>
      </c>
      <c r="L48" s="79">
        <v>4</v>
      </c>
      <c r="M48" s="80">
        <v>231.14</v>
      </c>
      <c r="N48" s="79">
        <v>5</v>
      </c>
      <c r="O48" s="80">
        <v>311.79000000000002</v>
      </c>
      <c r="P48">
        <v>9</v>
      </c>
      <c r="Q48" s="84">
        <v>542.92999999999995</v>
      </c>
    </row>
    <row r="49" spans="1:17" ht="15.75" customHeight="1" x14ac:dyDescent="0.2">
      <c r="A49" s="27"/>
      <c r="B49" s="115">
        <v>40</v>
      </c>
      <c r="C49" s="124">
        <v>2</v>
      </c>
      <c r="D49" s="161">
        <v>88.13</v>
      </c>
      <c r="E49" s="118">
        <v>6</v>
      </c>
      <c r="F49" s="165">
        <v>433.92</v>
      </c>
      <c r="G49" s="90">
        <v>8</v>
      </c>
      <c r="H49" s="169">
        <v>522.04999999999995</v>
      </c>
      <c r="K49" s="87">
        <v>40</v>
      </c>
      <c r="L49" s="79">
        <v>2</v>
      </c>
      <c r="M49" s="80">
        <v>88.13</v>
      </c>
      <c r="N49" s="79">
        <v>6</v>
      </c>
      <c r="O49" s="80">
        <v>433.92</v>
      </c>
      <c r="P49">
        <v>8</v>
      </c>
      <c r="Q49" s="84">
        <v>522.04999999999995</v>
      </c>
    </row>
    <row r="50" spans="1:17" ht="15.75" customHeight="1" x14ac:dyDescent="0.2">
      <c r="A50" s="27"/>
      <c r="B50" s="114">
        <v>41</v>
      </c>
      <c r="C50" s="124">
        <v>4</v>
      </c>
      <c r="D50" s="161">
        <v>237.22999999999996</v>
      </c>
      <c r="E50" s="118">
        <v>7</v>
      </c>
      <c r="F50" s="166">
        <v>547.75</v>
      </c>
      <c r="G50" s="89">
        <v>11</v>
      </c>
      <c r="H50" s="170">
        <v>784.98</v>
      </c>
      <c r="K50" s="87">
        <v>41</v>
      </c>
      <c r="L50" s="79">
        <v>4</v>
      </c>
      <c r="M50" s="80">
        <v>237.22999999999996</v>
      </c>
      <c r="N50" s="79">
        <v>7</v>
      </c>
      <c r="O50" s="80">
        <v>547.75</v>
      </c>
      <c r="P50">
        <v>11</v>
      </c>
      <c r="Q50" s="84">
        <v>784.98</v>
      </c>
    </row>
    <row r="51" spans="1:17" ht="15.75" customHeight="1" x14ac:dyDescent="0.2">
      <c r="A51" s="27"/>
      <c r="B51" s="115">
        <v>42</v>
      </c>
      <c r="C51" s="124">
        <v>3</v>
      </c>
      <c r="D51" s="161">
        <v>211.31</v>
      </c>
      <c r="E51" s="118">
        <v>7</v>
      </c>
      <c r="F51" s="165">
        <v>411.21000000000004</v>
      </c>
      <c r="G51" s="90">
        <v>10</v>
      </c>
      <c r="H51" s="169">
        <v>622.52</v>
      </c>
      <c r="K51" s="87">
        <v>42</v>
      </c>
      <c r="L51" s="79">
        <v>3</v>
      </c>
      <c r="M51" s="80">
        <v>211.31</v>
      </c>
      <c r="N51" s="79">
        <v>7</v>
      </c>
      <c r="O51" s="80">
        <v>411.21000000000004</v>
      </c>
      <c r="P51">
        <v>10</v>
      </c>
      <c r="Q51" s="84">
        <v>622.52</v>
      </c>
    </row>
    <row r="52" spans="1:17" ht="15.75" customHeight="1" x14ac:dyDescent="0.2">
      <c r="A52" s="27"/>
      <c r="B52" s="114">
        <v>43</v>
      </c>
      <c r="C52" s="124">
        <v>5</v>
      </c>
      <c r="D52" s="161">
        <v>259.49</v>
      </c>
      <c r="E52" s="118">
        <v>5</v>
      </c>
      <c r="F52" s="166">
        <v>229.98</v>
      </c>
      <c r="G52" s="89">
        <v>10</v>
      </c>
      <c r="H52" s="170">
        <v>489.47</v>
      </c>
      <c r="K52" s="87">
        <v>43</v>
      </c>
      <c r="L52" s="79">
        <v>5</v>
      </c>
      <c r="M52" s="80">
        <v>259.49</v>
      </c>
      <c r="N52" s="79">
        <v>5</v>
      </c>
      <c r="O52" s="80">
        <v>229.98</v>
      </c>
      <c r="P52">
        <v>10</v>
      </c>
      <c r="Q52" s="84">
        <v>489.47</v>
      </c>
    </row>
    <row r="53" spans="1:17" ht="15.75" customHeight="1" x14ac:dyDescent="0.2">
      <c r="A53" s="27"/>
      <c r="B53" s="115">
        <v>44</v>
      </c>
      <c r="C53" s="124">
        <v>2</v>
      </c>
      <c r="D53" s="161">
        <v>173.57</v>
      </c>
      <c r="E53" s="118">
        <v>4</v>
      </c>
      <c r="F53" s="165">
        <v>293.58000000000004</v>
      </c>
      <c r="G53" s="90">
        <v>6</v>
      </c>
      <c r="H53" s="169">
        <v>467.15000000000003</v>
      </c>
      <c r="K53" s="87">
        <v>44</v>
      </c>
      <c r="L53" s="79">
        <v>2</v>
      </c>
      <c r="M53" s="80">
        <v>173.57</v>
      </c>
      <c r="N53" s="79">
        <v>4</v>
      </c>
      <c r="O53" s="80">
        <v>293.58000000000004</v>
      </c>
      <c r="P53">
        <v>6</v>
      </c>
      <c r="Q53" s="84">
        <v>467.15000000000003</v>
      </c>
    </row>
    <row r="54" spans="1:17" ht="15.75" customHeight="1" x14ac:dyDescent="0.2">
      <c r="A54" s="27"/>
      <c r="B54" s="114">
        <v>45</v>
      </c>
      <c r="C54" s="124">
        <v>2</v>
      </c>
      <c r="D54" s="161">
        <v>118.16</v>
      </c>
      <c r="E54" s="118">
        <v>2</v>
      </c>
      <c r="F54" s="166">
        <v>132.71</v>
      </c>
      <c r="G54" s="89">
        <v>4</v>
      </c>
      <c r="H54" s="170">
        <v>250.87</v>
      </c>
      <c r="K54" s="87">
        <v>45</v>
      </c>
      <c r="L54" s="79">
        <v>2</v>
      </c>
      <c r="M54" s="80">
        <v>118.16</v>
      </c>
      <c r="N54" s="79">
        <v>2</v>
      </c>
      <c r="O54" s="80">
        <v>132.71</v>
      </c>
      <c r="P54">
        <v>4</v>
      </c>
      <c r="Q54" s="84">
        <v>250.87</v>
      </c>
    </row>
    <row r="55" spans="1:17" ht="15.75" customHeight="1" x14ac:dyDescent="0.2">
      <c r="A55" s="27"/>
      <c r="B55" s="115">
        <v>46</v>
      </c>
      <c r="C55" s="124">
        <v>2</v>
      </c>
      <c r="D55" s="161">
        <v>142.07999999999998</v>
      </c>
      <c r="E55" s="118">
        <v>5</v>
      </c>
      <c r="F55" s="165">
        <v>386.59999999999997</v>
      </c>
      <c r="G55" s="90">
        <v>7</v>
      </c>
      <c r="H55" s="169">
        <v>528.67999999999995</v>
      </c>
      <c r="K55" s="87">
        <v>46</v>
      </c>
      <c r="L55" s="79">
        <v>2</v>
      </c>
      <c r="M55" s="80">
        <v>142.07999999999998</v>
      </c>
      <c r="N55" s="79">
        <v>5</v>
      </c>
      <c r="O55" s="80">
        <v>386.59999999999997</v>
      </c>
      <c r="P55">
        <v>7</v>
      </c>
      <c r="Q55" s="84">
        <v>528.67999999999995</v>
      </c>
    </row>
    <row r="56" spans="1:17" ht="15.75" customHeight="1" x14ac:dyDescent="0.2">
      <c r="A56" s="27"/>
      <c r="B56" s="114">
        <v>47</v>
      </c>
      <c r="C56" s="124">
        <v>5</v>
      </c>
      <c r="D56" s="161">
        <v>284.71999999999997</v>
      </c>
      <c r="E56" s="118">
        <v>2</v>
      </c>
      <c r="F56" s="166">
        <v>95</v>
      </c>
      <c r="G56" s="89">
        <v>7</v>
      </c>
      <c r="H56" s="170">
        <v>379.71999999999997</v>
      </c>
      <c r="K56" s="87">
        <v>47</v>
      </c>
      <c r="L56" s="79">
        <v>5</v>
      </c>
      <c r="M56" s="80">
        <v>284.71999999999997</v>
      </c>
      <c r="N56" s="79">
        <v>2</v>
      </c>
      <c r="O56" s="80">
        <v>95</v>
      </c>
      <c r="P56">
        <v>7</v>
      </c>
      <c r="Q56" s="84">
        <v>379.71999999999997</v>
      </c>
    </row>
    <row r="57" spans="1:17" ht="15.75" customHeight="1" x14ac:dyDescent="0.2">
      <c r="A57" s="27"/>
      <c r="B57" s="115">
        <v>48</v>
      </c>
      <c r="C57" s="124">
        <v>2</v>
      </c>
      <c r="D57" s="161">
        <v>142.58999999999997</v>
      </c>
      <c r="E57" s="118">
        <v>7</v>
      </c>
      <c r="F57" s="165">
        <v>352.4</v>
      </c>
      <c r="G57" s="90">
        <v>9</v>
      </c>
      <c r="H57" s="169">
        <v>494.98999999999995</v>
      </c>
      <c r="K57" s="87">
        <v>48</v>
      </c>
      <c r="L57" s="79">
        <v>2</v>
      </c>
      <c r="M57" s="80">
        <v>142.58999999999997</v>
      </c>
      <c r="N57" s="79">
        <v>7</v>
      </c>
      <c r="O57" s="80">
        <v>352.4</v>
      </c>
      <c r="P57">
        <v>9</v>
      </c>
      <c r="Q57" s="84">
        <v>494.98999999999995</v>
      </c>
    </row>
    <row r="58" spans="1:17" ht="15.75" customHeight="1" x14ac:dyDescent="0.2">
      <c r="A58" s="27"/>
      <c r="B58" s="114">
        <v>49</v>
      </c>
      <c r="C58" s="124">
        <v>1</v>
      </c>
      <c r="D58" s="161">
        <v>59.39</v>
      </c>
      <c r="E58" s="118">
        <v>4</v>
      </c>
      <c r="F58" s="166">
        <v>207.24</v>
      </c>
      <c r="G58" s="89">
        <v>5</v>
      </c>
      <c r="H58" s="170">
        <v>266.63</v>
      </c>
      <c r="K58" s="87">
        <v>49</v>
      </c>
      <c r="L58" s="79">
        <v>1</v>
      </c>
      <c r="M58" s="80">
        <v>59.39</v>
      </c>
      <c r="N58" s="79">
        <v>4</v>
      </c>
      <c r="O58" s="80">
        <v>207.24</v>
      </c>
      <c r="P58">
        <v>5</v>
      </c>
      <c r="Q58" s="84">
        <v>266.63</v>
      </c>
    </row>
    <row r="59" spans="1:17" ht="15.75" customHeight="1" x14ac:dyDescent="0.2">
      <c r="A59" s="27"/>
      <c r="B59" s="115">
        <v>50</v>
      </c>
      <c r="C59" s="124" t="s">
        <v>42</v>
      </c>
      <c r="D59" s="161" t="s">
        <v>42</v>
      </c>
      <c r="E59" s="118">
        <v>5</v>
      </c>
      <c r="F59" s="165">
        <v>254.44</v>
      </c>
      <c r="G59" s="90">
        <v>5</v>
      </c>
      <c r="H59" s="169">
        <v>254.44</v>
      </c>
      <c r="K59" s="87">
        <v>50</v>
      </c>
      <c r="L59" s="79"/>
      <c r="M59" s="80"/>
      <c r="N59" s="79">
        <v>5</v>
      </c>
      <c r="O59" s="80">
        <v>254.44</v>
      </c>
      <c r="P59">
        <v>5</v>
      </c>
      <c r="Q59" s="84">
        <v>254.44</v>
      </c>
    </row>
    <row r="60" spans="1:17" ht="15.75" customHeight="1" x14ac:dyDescent="0.2">
      <c r="A60" s="27"/>
      <c r="B60" s="114">
        <v>51</v>
      </c>
      <c r="C60" s="124">
        <v>2</v>
      </c>
      <c r="D60" s="161">
        <v>119.58000000000001</v>
      </c>
      <c r="E60" s="118">
        <v>6</v>
      </c>
      <c r="F60" s="166">
        <v>392.12</v>
      </c>
      <c r="G60" s="89">
        <v>8</v>
      </c>
      <c r="H60" s="170">
        <v>511.7</v>
      </c>
      <c r="K60" s="87">
        <v>51</v>
      </c>
      <c r="L60" s="79">
        <v>2</v>
      </c>
      <c r="M60" s="80">
        <v>119.58000000000001</v>
      </c>
      <c r="N60" s="79">
        <v>6</v>
      </c>
      <c r="O60" s="80">
        <v>392.12</v>
      </c>
      <c r="P60">
        <v>8</v>
      </c>
      <c r="Q60" s="84">
        <v>511.7</v>
      </c>
    </row>
    <row r="61" spans="1:17" ht="15.75" customHeight="1" x14ac:dyDescent="0.2">
      <c r="A61" s="27"/>
      <c r="B61" s="115">
        <v>52</v>
      </c>
      <c r="C61" s="124">
        <v>1</v>
      </c>
      <c r="D61" s="161">
        <v>55.46</v>
      </c>
      <c r="E61" s="118">
        <v>3</v>
      </c>
      <c r="F61" s="165">
        <v>112.91999999999999</v>
      </c>
      <c r="G61" s="90">
        <v>4</v>
      </c>
      <c r="H61" s="169">
        <v>168.38</v>
      </c>
      <c r="K61" s="87">
        <v>52</v>
      </c>
      <c r="L61" s="79">
        <v>1</v>
      </c>
      <c r="M61" s="80">
        <v>55.46</v>
      </c>
      <c r="N61" s="79">
        <v>3</v>
      </c>
      <c r="O61" s="80">
        <v>112.91999999999999</v>
      </c>
      <c r="P61">
        <v>4</v>
      </c>
      <c r="Q61" s="84">
        <v>168.38</v>
      </c>
    </row>
    <row r="62" spans="1:17" ht="15.75" customHeight="1" x14ac:dyDescent="0.2">
      <c r="A62" s="27"/>
      <c r="B62" s="114">
        <v>53</v>
      </c>
      <c r="C62" s="124">
        <v>1</v>
      </c>
      <c r="D62" s="161">
        <v>70.61</v>
      </c>
      <c r="E62" s="118">
        <v>1</v>
      </c>
      <c r="F62" s="166">
        <v>99.96</v>
      </c>
      <c r="G62" s="89">
        <v>2</v>
      </c>
      <c r="H62" s="170">
        <v>170.57</v>
      </c>
      <c r="K62" s="87">
        <v>53</v>
      </c>
      <c r="L62" s="79">
        <v>1</v>
      </c>
      <c r="M62" s="80">
        <v>70.61</v>
      </c>
      <c r="N62" s="79">
        <v>1</v>
      </c>
      <c r="O62" s="80">
        <v>99.96</v>
      </c>
      <c r="P62">
        <v>2</v>
      </c>
      <c r="Q62" s="84">
        <v>170.57</v>
      </c>
    </row>
    <row r="63" spans="1:17" ht="15.75" customHeight="1" x14ac:dyDescent="0.2">
      <c r="A63" s="27"/>
      <c r="B63" s="115">
        <v>54</v>
      </c>
      <c r="C63" s="124">
        <v>2</v>
      </c>
      <c r="D63" s="161">
        <v>85.91</v>
      </c>
      <c r="E63" s="118">
        <v>1</v>
      </c>
      <c r="F63" s="165">
        <v>67.069999999999993</v>
      </c>
      <c r="G63" s="90">
        <v>3</v>
      </c>
      <c r="H63" s="169">
        <v>152.97999999999999</v>
      </c>
      <c r="K63" s="87">
        <v>54</v>
      </c>
      <c r="L63" s="79">
        <v>2</v>
      </c>
      <c r="M63" s="80">
        <v>85.91</v>
      </c>
      <c r="N63" s="79">
        <v>1</v>
      </c>
      <c r="O63" s="80">
        <v>67.069999999999993</v>
      </c>
      <c r="P63">
        <v>3</v>
      </c>
      <c r="Q63" s="84">
        <v>152.97999999999999</v>
      </c>
    </row>
    <row r="64" spans="1:17" ht="15.75" customHeight="1" x14ac:dyDescent="0.2">
      <c r="A64" s="27"/>
      <c r="B64" s="114">
        <v>55</v>
      </c>
      <c r="C64" s="124" t="s">
        <v>42</v>
      </c>
      <c r="D64" s="161" t="s">
        <v>42</v>
      </c>
      <c r="E64" s="118">
        <v>1</v>
      </c>
      <c r="F64" s="166">
        <v>72.78</v>
      </c>
      <c r="G64" s="89">
        <v>1</v>
      </c>
      <c r="H64" s="170">
        <v>72.78</v>
      </c>
      <c r="K64" s="87">
        <v>55</v>
      </c>
      <c r="L64" s="79"/>
      <c r="M64" s="80"/>
      <c r="N64" s="79">
        <v>1</v>
      </c>
      <c r="O64" s="80">
        <v>72.78</v>
      </c>
      <c r="P64">
        <v>1</v>
      </c>
      <c r="Q64" s="84">
        <v>72.78</v>
      </c>
    </row>
    <row r="65" spans="1:17" ht="15.75" customHeight="1" x14ac:dyDescent="0.2">
      <c r="B65" s="115">
        <v>56</v>
      </c>
      <c r="C65" s="124" t="s">
        <v>42</v>
      </c>
      <c r="D65" s="161" t="s">
        <v>42</v>
      </c>
      <c r="E65" s="118">
        <v>1</v>
      </c>
      <c r="F65" s="165">
        <v>67.02</v>
      </c>
      <c r="G65" s="90">
        <v>1</v>
      </c>
      <c r="H65" s="169">
        <v>67.02</v>
      </c>
      <c r="K65" s="87">
        <v>56</v>
      </c>
      <c r="L65" s="79"/>
      <c r="M65" s="80"/>
      <c r="N65" s="79">
        <v>1</v>
      </c>
      <c r="O65" s="80">
        <v>67.02</v>
      </c>
      <c r="P65">
        <v>1</v>
      </c>
      <c r="Q65" s="84">
        <v>67.02</v>
      </c>
    </row>
    <row r="66" spans="1:17" ht="15.75" customHeight="1" x14ac:dyDescent="0.2">
      <c r="B66" s="114">
        <v>57</v>
      </c>
      <c r="C66" s="124" t="s">
        <v>42</v>
      </c>
      <c r="D66" s="161" t="s">
        <v>42</v>
      </c>
      <c r="E66" s="118">
        <v>4</v>
      </c>
      <c r="F66" s="167">
        <v>196.31</v>
      </c>
      <c r="G66" s="89">
        <v>4</v>
      </c>
      <c r="H66" s="170">
        <v>196.31</v>
      </c>
      <c r="K66" s="87">
        <v>57</v>
      </c>
      <c r="L66" s="79"/>
      <c r="M66" s="80"/>
      <c r="N66" s="79">
        <v>4</v>
      </c>
      <c r="O66" s="80">
        <v>196.31</v>
      </c>
      <c r="P66">
        <v>4</v>
      </c>
      <c r="Q66" s="84">
        <v>196.31</v>
      </c>
    </row>
    <row r="67" spans="1:17" ht="15.75" customHeight="1" x14ac:dyDescent="0.2">
      <c r="B67" s="115">
        <v>58</v>
      </c>
      <c r="C67" s="124">
        <v>1</v>
      </c>
      <c r="D67" s="161">
        <v>53.2</v>
      </c>
      <c r="E67" s="127" t="s">
        <v>42</v>
      </c>
      <c r="F67" s="119"/>
      <c r="G67" s="90">
        <v>1</v>
      </c>
      <c r="H67" s="169">
        <v>53.2</v>
      </c>
      <c r="K67" s="87">
        <v>58</v>
      </c>
      <c r="L67" s="79">
        <v>1</v>
      </c>
      <c r="M67" s="80">
        <v>53.2</v>
      </c>
      <c r="N67" s="79"/>
      <c r="O67" s="80"/>
      <c r="P67">
        <v>1</v>
      </c>
      <c r="Q67" s="84">
        <v>53.2</v>
      </c>
    </row>
    <row r="68" spans="1:17" ht="15.75" customHeight="1" x14ac:dyDescent="0.2">
      <c r="B68" s="114">
        <v>59</v>
      </c>
      <c r="C68" s="124">
        <v>1</v>
      </c>
      <c r="D68" s="161">
        <v>42.33</v>
      </c>
      <c r="E68" s="128">
        <v>0</v>
      </c>
      <c r="F68" s="129"/>
      <c r="G68" s="89">
        <v>1</v>
      </c>
      <c r="H68" s="170">
        <v>42.33</v>
      </c>
      <c r="K68" s="87">
        <v>59</v>
      </c>
      <c r="L68" s="79">
        <v>1</v>
      </c>
      <c r="M68" s="80">
        <v>42.33</v>
      </c>
      <c r="N68" s="79"/>
      <c r="O68" s="80"/>
      <c r="P68">
        <v>1</v>
      </c>
      <c r="Q68" s="84">
        <v>42.33</v>
      </c>
    </row>
    <row r="69" spans="1:17" ht="15.75" customHeight="1" x14ac:dyDescent="0.2">
      <c r="B69" s="115">
        <v>60</v>
      </c>
      <c r="C69" s="124">
        <v>1</v>
      </c>
      <c r="D69" s="161">
        <v>46.24</v>
      </c>
      <c r="E69" s="128">
        <v>0</v>
      </c>
      <c r="F69" s="119"/>
      <c r="G69" s="90">
        <v>1</v>
      </c>
      <c r="H69" s="169">
        <v>46.24</v>
      </c>
      <c r="K69" s="87">
        <v>60</v>
      </c>
      <c r="L69" s="79">
        <v>1</v>
      </c>
      <c r="M69" s="80">
        <v>46.24</v>
      </c>
      <c r="N69" s="79"/>
      <c r="O69" s="80"/>
      <c r="P69">
        <v>1</v>
      </c>
      <c r="Q69" s="84">
        <v>46.24</v>
      </c>
    </row>
    <row r="70" spans="1:17" ht="15.75" customHeight="1" x14ac:dyDescent="0.2">
      <c r="B70" s="114">
        <v>62</v>
      </c>
      <c r="C70" s="124">
        <v>1</v>
      </c>
      <c r="D70" s="161">
        <v>77.400000000000006</v>
      </c>
      <c r="E70" s="128">
        <v>0</v>
      </c>
      <c r="F70" s="119"/>
      <c r="G70" s="89">
        <v>1</v>
      </c>
      <c r="H70" s="170">
        <v>77.400000000000006</v>
      </c>
      <c r="K70" s="87">
        <v>62</v>
      </c>
      <c r="L70" s="79">
        <v>1</v>
      </c>
      <c r="M70" s="80">
        <v>77.400000000000006</v>
      </c>
      <c r="N70" s="79"/>
      <c r="O70" s="80"/>
      <c r="P70">
        <v>1</v>
      </c>
      <c r="Q70" s="84">
        <v>77.400000000000006</v>
      </c>
    </row>
    <row r="71" spans="1:17" ht="15.75" customHeight="1" x14ac:dyDescent="0.2">
      <c r="B71" s="115">
        <v>63</v>
      </c>
      <c r="C71" s="124">
        <v>1</v>
      </c>
      <c r="D71" s="161">
        <v>39.17</v>
      </c>
      <c r="E71" s="128">
        <v>0</v>
      </c>
      <c r="F71" s="119"/>
      <c r="G71" s="90">
        <v>1</v>
      </c>
      <c r="H71" s="169">
        <v>39.17</v>
      </c>
      <c r="K71" s="87">
        <v>63</v>
      </c>
      <c r="L71" s="79">
        <v>1</v>
      </c>
      <c r="M71" s="80">
        <v>39.17</v>
      </c>
      <c r="N71" s="79"/>
      <c r="O71" s="80"/>
      <c r="P71">
        <v>1</v>
      </c>
      <c r="Q71" s="84">
        <v>39.17</v>
      </c>
    </row>
    <row r="72" spans="1:17" ht="15.75" customHeight="1" x14ac:dyDescent="0.2">
      <c r="B72" s="114">
        <v>64</v>
      </c>
      <c r="C72" s="124" t="s">
        <v>42</v>
      </c>
      <c r="D72" s="161" t="s">
        <v>42</v>
      </c>
      <c r="E72" s="118">
        <v>1</v>
      </c>
      <c r="F72" s="113">
        <v>89.18</v>
      </c>
      <c r="G72" s="89">
        <v>1</v>
      </c>
      <c r="H72" s="170">
        <v>89.18</v>
      </c>
      <c r="K72" s="87">
        <v>64</v>
      </c>
      <c r="L72" s="79"/>
      <c r="M72" s="80"/>
      <c r="N72" s="79">
        <v>1</v>
      </c>
      <c r="O72" s="80">
        <v>89.18</v>
      </c>
      <c r="P72">
        <v>1</v>
      </c>
      <c r="Q72" s="84">
        <v>89.18</v>
      </c>
    </row>
    <row r="73" spans="1:17" ht="15.75" customHeight="1" x14ac:dyDescent="0.2">
      <c r="B73" s="115">
        <v>67</v>
      </c>
      <c r="C73" s="124">
        <v>2</v>
      </c>
      <c r="D73" s="161">
        <v>108.39</v>
      </c>
      <c r="E73" s="118">
        <v>0</v>
      </c>
      <c r="F73" s="111"/>
      <c r="G73" s="90">
        <v>2</v>
      </c>
      <c r="H73" s="169">
        <v>108.39</v>
      </c>
      <c r="K73" s="87">
        <v>67</v>
      </c>
      <c r="L73" s="79">
        <v>2</v>
      </c>
      <c r="M73" s="80">
        <v>108.39</v>
      </c>
      <c r="N73" s="79"/>
      <c r="O73" s="80"/>
      <c r="P73">
        <v>2</v>
      </c>
      <c r="Q73" s="84">
        <v>108.39</v>
      </c>
    </row>
    <row r="74" spans="1:17" ht="15.75" customHeight="1" x14ac:dyDescent="0.2">
      <c r="B74" s="114">
        <v>68</v>
      </c>
      <c r="C74" s="124" t="s">
        <v>42</v>
      </c>
      <c r="D74" s="161" t="s">
        <v>42</v>
      </c>
      <c r="E74" s="118">
        <v>1</v>
      </c>
      <c r="F74" s="112">
        <v>23.31</v>
      </c>
      <c r="G74" s="89">
        <v>1</v>
      </c>
      <c r="H74" s="170">
        <v>23.31</v>
      </c>
      <c r="K74" s="87">
        <v>68</v>
      </c>
      <c r="L74" s="79"/>
      <c r="M74" s="80"/>
      <c r="N74" s="79">
        <v>1</v>
      </c>
      <c r="O74" s="80">
        <v>23.31</v>
      </c>
      <c r="P74">
        <v>1</v>
      </c>
      <c r="Q74" s="84">
        <v>23.31</v>
      </c>
    </row>
    <row r="75" spans="1:17" ht="15.75" customHeight="1" x14ac:dyDescent="0.2">
      <c r="A75" s="27"/>
      <c r="B75" s="120">
        <v>74</v>
      </c>
      <c r="C75" s="125" t="s">
        <v>42</v>
      </c>
      <c r="D75" s="162" t="s">
        <v>42</v>
      </c>
      <c r="E75" s="121">
        <v>1</v>
      </c>
      <c r="F75" s="116">
        <v>55.63</v>
      </c>
      <c r="G75" s="122">
        <v>1</v>
      </c>
      <c r="H75" s="171">
        <v>55.63</v>
      </c>
      <c r="K75" s="88">
        <v>74</v>
      </c>
      <c r="L75" s="81"/>
      <c r="M75" s="82"/>
      <c r="N75" s="81">
        <v>1</v>
      </c>
      <c r="O75" s="82">
        <v>55.63</v>
      </c>
      <c r="P75">
        <v>1</v>
      </c>
      <c r="Q75" s="85">
        <v>55.63</v>
      </c>
    </row>
    <row r="76" spans="1:17" ht="15.75" customHeight="1" x14ac:dyDescent="0.2">
      <c r="A76" s="27"/>
      <c r="B76" s="130" t="s">
        <v>27</v>
      </c>
      <c r="C76" s="131">
        <v>247</v>
      </c>
      <c r="D76" s="163">
        <v>14763.899999999991</v>
      </c>
      <c r="E76" s="118">
        <v>413</v>
      </c>
      <c r="F76" s="126">
        <v>24898.819999999996</v>
      </c>
      <c r="G76" s="118">
        <v>660</v>
      </c>
      <c r="H76" s="172">
        <v>39662.719999999987</v>
      </c>
      <c r="K76" s="76" t="s">
        <v>27</v>
      </c>
      <c r="L76">
        <v>247</v>
      </c>
      <c r="M76">
        <v>14763.899999999991</v>
      </c>
      <c r="N76">
        <v>413</v>
      </c>
      <c r="O76">
        <v>24898.819999999996</v>
      </c>
      <c r="P76">
        <v>660</v>
      </c>
      <c r="Q76">
        <v>39662.719999999987</v>
      </c>
    </row>
    <row r="77" spans="1:17" ht="15.75" customHeight="1" x14ac:dyDescent="0.2">
      <c r="A77" s="27"/>
    </row>
    <row r="78" spans="1:17" ht="15.75" customHeight="1" x14ac:dyDescent="0.2">
      <c r="A78" s="27"/>
    </row>
    <row r="79" spans="1:17" ht="15.75" customHeight="1" x14ac:dyDescent="0.2">
      <c r="A79" s="27"/>
    </row>
    <row r="80" spans="1:17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7" ht="15.75" customHeight="1" x14ac:dyDescent="0.2">
      <c r="A721" s="27"/>
    </row>
    <row r="722" spans="1:7" ht="15.75" customHeight="1" x14ac:dyDescent="0.2">
      <c r="A722" s="27"/>
    </row>
    <row r="723" spans="1:7" ht="15.75" customHeight="1" x14ac:dyDescent="0.2">
      <c r="A723" s="27"/>
    </row>
    <row r="724" spans="1:7" ht="15.75" customHeight="1" x14ac:dyDescent="0.2">
      <c r="A724" s="27"/>
    </row>
    <row r="725" spans="1:7" ht="15.75" customHeight="1" x14ac:dyDescent="0.2">
      <c r="A725" s="27"/>
    </row>
    <row r="726" spans="1:7" ht="15.75" customHeight="1" x14ac:dyDescent="0.2">
      <c r="A726" s="27"/>
    </row>
    <row r="727" spans="1:7" ht="15.75" customHeight="1" x14ac:dyDescent="0.2">
      <c r="A727" s="27"/>
    </row>
    <row r="728" spans="1:7" ht="15.75" customHeight="1" x14ac:dyDescent="0.2">
      <c r="A728" s="27"/>
    </row>
    <row r="729" spans="1:7" ht="15.75" customHeight="1" x14ac:dyDescent="0.2">
      <c r="A729" s="27"/>
    </row>
    <row r="730" spans="1:7" ht="15.75" customHeight="1" x14ac:dyDescent="0.2">
      <c r="A730" s="27"/>
      <c r="F730" s="109"/>
      <c r="G730" s="28"/>
    </row>
    <row r="731" spans="1:7" ht="15.75" customHeight="1" x14ac:dyDescent="0.2">
      <c r="A731" s="27"/>
      <c r="F731" s="109"/>
      <c r="G731" s="28"/>
    </row>
    <row r="732" spans="1:7" ht="15.75" customHeight="1" x14ac:dyDescent="0.2">
      <c r="A732" s="27"/>
      <c r="F732" s="109"/>
      <c r="G732" s="28"/>
    </row>
    <row r="733" spans="1:7" ht="15.75" customHeight="1" x14ac:dyDescent="0.2">
      <c r="A733" s="27"/>
      <c r="F733" s="109"/>
      <c r="G733" s="28"/>
    </row>
    <row r="734" spans="1:7" ht="15.75" customHeight="1" x14ac:dyDescent="0.2">
      <c r="A734" s="27"/>
      <c r="F734" s="109"/>
      <c r="G734" s="28"/>
    </row>
    <row r="735" spans="1:7" ht="15.75" customHeight="1" x14ac:dyDescent="0.2">
      <c r="A735" s="27"/>
      <c r="F735" s="109"/>
      <c r="G735" s="28"/>
    </row>
    <row r="736" spans="1:7" ht="15.75" customHeight="1" x14ac:dyDescent="0.2">
      <c r="A736" s="27"/>
      <c r="F736" s="109"/>
      <c r="G736" s="28"/>
    </row>
    <row r="737" spans="1:7" ht="15.75" customHeight="1" x14ac:dyDescent="0.2">
      <c r="A737" s="27"/>
      <c r="F737" s="109"/>
      <c r="G737" s="28"/>
    </row>
    <row r="738" spans="1:7" ht="15.75" customHeight="1" x14ac:dyDescent="0.2">
      <c r="A738" s="27"/>
      <c r="F738" s="109"/>
      <c r="G738" s="28"/>
    </row>
    <row r="739" spans="1:7" ht="15.75" customHeight="1" x14ac:dyDescent="0.2">
      <c r="A739" s="27"/>
      <c r="F739" s="109"/>
      <c r="G739" s="28"/>
    </row>
    <row r="740" spans="1:7" ht="15.75" customHeight="1" x14ac:dyDescent="0.2">
      <c r="A740" s="27"/>
      <c r="F740" s="109"/>
      <c r="G740" s="28"/>
    </row>
    <row r="741" spans="1:7" ht="15.75" customHeight="1" x14ac:dyDescent="0.2">
      <c r="A741" s="27"/>
      <c r="F741" s="109"/>
      <c r="G741" s="28"/>
    </row>
    <row r="742" spans="1:7" ht="15.75" customHeight="1" x14ac:dyDescent="0.2">
      <c r="A742" s="27"/>
      <c r="F742" s="109"/>
      <c r="G742" s="28"/>
    </row>
    <row r="743" spans="1:7" ht="15.75" customHeight="1" x14ac:dyDescent="0.2">
      <c r="A743" s="27"/>
      <c r="F743" s="109"/>
      <c r="G743" s="28"/>
    </row>
    <row r="744" spans="1:7" ht="15.75" customHeight="1" x14ac:dyDescent="0.2">
      <c r="A744" s="27"/>
      <c r="F744" s="109"/>
      <c r="G744" s="28"/>
    </row>
    <row r="745" spans="1:7" ht="15.75" customHeight="1" x14ac:dyDescent="0.2">
      <c r="A745" s="27"/>
      <c r="F745" s="109"/>
      <c r="G745" s="28"/>
    </row>
    <row r="746" spans="1:7" ht="15.75" customHeight="1" x14ac:dyDescent="0.2">
      <c r="A746" s="27"/>
      <c r="F746" s="109"/>
      <c r="G746" s="28"/>
    </row>
    <row r="747" spans="1:7" ht="15.75" customHeight="1" x14ac:dyDescent="0.2">
      <c r="A747" s="27"/>
      <c r="F747" s="109"/>
      <c r="G747" s="28"/>
    </row>
    <row r="748" spans="1:7" ht="15.75" customHeight="1" x14ac:dyDescent="0.2">
      <c r="A748" s="27"/>
      <c r="F748" s="109"/>
      <c r="G748" s="28"/>
    </row>
    <row r="749" spans="1:7" ht="15.75" customHeight="1" x14ac:dyDescent="0.2">
      <c r="A749" s="27"/>
      <c r="F749" s="109"/>
      <c r="G749" s="28"/>
    </row>
    <row r="750" spans="1:7" ht="15.75" customHeight="1" x14ac:dyDescent="0.2">
      <c r="A750" s="27"/>
      <c r="F750" s="109"/>
      <c r="G750" s="28"/>
    </row>
    <row r="751" spans="1:7" ht="15.75" customHeight="1" x14ac:dyDescent="0.2">
      <c r="A751" s="27"/>
      <c r="F751" s="109"/>
      <c r="G751" s="28"/>
    </row>
    <row r="752" spans="1:7" ht="15.75" customHeight="1" x14ac:dyDescent="0.2">
      <c r="A752" s="27"/>
      <c r="F752" s="109"/>
      <c r="G752" s="28"/>
    </row>
    <row r="753" spans="1:7" ht="15.75" customHeight="1" x14ac:dyDescent="0.2">
      <c r="A753" s="27"/>
      <c r="F753" s="109"/>
      <c r="G753" s="28"/>
    </row>
    <row r="754" spans="1:7" ht="15.75" customHeight="1" x14ac:dyDescent="0.2">
      <c r="A754" s="27"/>
      <c r="F754" s="109"/>
      <c r="G754" s="28"/>
    </row>
    <row r="755" spans="1:7" ht="15.75" customHeight="1" x14ac:dyDescent="0.2">
      <c r="A755" s="27"/>
      <c r="F755" s="109"/>
      <c r="G755" s="28"/>
    </row>
    <row r="756" spans="1:7" ht="15.75" customHeight="1" x14ac:dyDescent="0.2">
      <c r="A756" s="27"/>
      <c r="F756" s="109"/>
      <c r="G756" s="28"/>
    </row>
    <row r="757" spans="1:7" ht="15.75" customHeight="1" x14ac:dyDescent="0.2">
      <c r="A757" s="27"/>
      <c r="F757" s="109"/>
      <c r="G757" s="28"/>
    </row>
    <row r="758" spans="1:7" ht="15.75" customHeight="1" x14ac:dyDescent="0.2">
      <c r="A758" s="27"/>
      <c r="F758" s="109"/>
      <c r="G758" s="28"/>
    </row>
    <row r="759" spans="1:7" ht="15.75" customHeight="1" x14ac:dyDescent="0.2">
      <c r="A759" s="27"/>
      <c r="F759" s="109"/>
      <c r="G759" s="28"/>
    </row>
    <row r="760" spans="1:7" ht="15.75" customHeight="1" x14ac:dyDescent="0.2">
      <c r="A760" s="27"/>
      <c r="F760" s="109"/>
      <c r="G760" s="28"/>
    </row>
    <row r="761" spans="1:7" ht="15.75" customHeight="1" x14ac:dyDescent="0.2">
      <c r="A761" s="27"/>
      <c r="F761" s="109"/>
      <c r="G761" s="28"/>
    </row>
    <row r="762" spans="1:7" ht="15.75" customHeight="1" x14ac:dyDescent="0.2">
      <c r="A762" s="27"/>
      <c r="F762" s="109"/>
      <c r="G762" s="28"/>
    </row>
    <row r="763" spans="1:7" ht="15.75" customHeight="1" x14ac:dyDescent="0.2">
      <c r="A763" s="27"/>
      <c r="F763" s="109"/>
      <c r="G763" s="28"/>
    </row>
    <row r="764" spans="1:7" ht="15.75" customHeight="1" x14ac:dyDescent="0.2">
      <c r="A764" s="27"/>
      <c r="F764" s="109"/>
      <c r="G764" s="28"/>
    </row>
    <row r="765" spans="1:7" ht="15.75" customHeight="1" x14ac:dyDescent="0.2">
      <c r="A765" s="27"/>
      <c r="F765" s="109"/>
      <c r="G765" s="28"/>
    </row>
    <row r="766" spans="1:7" ht="15.75" customHeight="1" x14ac:dyDescent="0.2">
      <c r="A766" s="27"/>
      <c r="F766" s="109"/>
      <c r="G766" s="28"/>
    </row>
    <row r="767" spans="1:7" ht="15.75" customHeight="1" x14ac:dyDescent="0.2">
      <c r="A767" s="27"/>
      <c r="F767" s="109"/>
      <c r="G767" s="28"/>
    </row>
    <row r="768" spans="1:7" ht="15.75" customHeight="1" x14ac:dyDescent="0.2">
      <c r="A768" s="27"/>
      <c r="F768" s="109"/>
      <c r="G768" s="28"/>
    </row>
    <row r="769" spans="1:7" ht="15.75" customHeight="1" x14ac:dyDescent="0.2">
      <c r="A769" s="27"/>
      <c r="F769" s="109"/>
      <c r="G769" s="28"/>
    </row>
    <row r="770" spans="1:7" ht="15.75" customHeight="1" x14ac:dyDescent="0.2">
      <c r="A770" s="27"/>
      <c r="F770" s="109"/>
      <c r="G770" s="28"/>
    </row>
    <row r="771" spans="1:7" ht="15.75" customHeight="1" x14ac:dyDescent="0.2">
      <c r="A771" s="27"/>
      <c r="F771" s="109"/>
      <c r="G771" s="28"/>
    </row>
    <row r="772" spans="1:7" ht="15.75" customHeight="1" x14ac:dyDescent="0.2">
      <c r="A772" s="27"/>
      <c r="F772" s="109"/>
      <c r="G772" s="28"/>
    </row>
    <row r="773" spans="1:7" ht="15.75" customHeight="1" x14ac:dyDescent="0.2">
      <c r="A773" s="27"/>
      <c r="F773" s="109"/>
      <c r="G773" s="28"/>
    </row>
    <row r="774" spans="1:7" ht="15.75" customHeight="1" x14ac:dyDescent="0.2">
      <c r="A774" s="27"/>
      <c r="F774" s="109"/>
      <c r="G774" s="28"/>
    </row>
    <row r="775" spans="1:7" ht="15.75" customHeight="1" x14ac:dyDescent="0.2">
      <c r="A775" s="27"/>
      <c r="F775" s="109"/>
      <c r="G775" s="28"/>
    </row>
    <row r="776" spans="1:7" ht="15.75" customHeight="1" x14ac:dyDescent="0.2">
      <c r="A776" s="27"/>
      <c r="F776" s="109"/>
      <c r="G776" s="28"/>
    </row>
    <row r="777" spans="1:7" ht="15.75" customHeight="1" x14ac:dyDescent="0.2">
      <c r="A777" s="27"/>
      <c r="F777" s="109"/>
      <c r="G777" s="28"/>
    </row>
    <row r="778" spans="1:7" ht="15.75" customHeight="1" x14ac:dyDescent="0.2">
      <c r="A778" s="27"/>
      <c r="F778" s="109"/>
      <c r="G778" s="28"/>
    </row>
    <row r="779" spans="1:7" ht="15.75" customHeight="1" x14ac:dyDescent="0.2">
      <c r="A779" s="27"/>
      <c r="F779" s="109"/>
      <c r="G779" s="28"/>
    </row>
    <row r="780" spans="1:7" ht="15.75" customHeight="1" x14ac:dyDescent="0.2">
      <c r="A780" s="27"/>
      <c r="F780" s="109"/>
      <c r="G780" s="28"/>
    </row>
    <row r="781" spans="1:7" ht="15.75" customHeight="1" x14ac:dyDescent="0.2">
      <c r="A781" s="27"/>
      <c r="F781" s="109"/>
      <c r="G781" s="28"/>
    </row>
    <row r="782" spans="1:7" ht="15.75" customHeight="1" x14ac:dyDescent="0.2">
      <c r="A782" s="27"/>
      <c r="F782" s="109"/>
      <c r="G782" s="28"/>
    </row>
    <row r="783" spans="1:7" ht="15.75" customHeight="1" x14ac:dyDescent="0.2">
      <c r="A783" s="27"/>
      <c r="F783" s="109"/>
      <c r="G783" s="28"/>
    </row>
    <row r="784" spans="1:7" ht="15.75" customHeight="1" x14ac:dyDescent="0.2">
      <c r="A784" s="27"/>
      <c r="F784" s="109"/>
      <c r="G784" s="28"/>
    </row>
    <row r="785" spans="1:7" ht="15.75" customHeight="1" x14ac:dyDescent="0.2">
      <c r="A785" s="27"/>
      <c r="F785" s="109"/>
      <c r="G785" s="28"/>
    </row>
    <row r="786" spans="1:7" ht="15.75" customHeight="1" x14ac:dyDescent="0.2">
      <c r="A786" s="27"/>
      <c r="F786" s="109"/>
      <c r="G786" s="28"/>
    </row>
    <row r="787" spans="1:7" ht="15.75" customHeight="1" x14ac:dyDescent="0.2">
      <c r="A787" s="27"/>
      <c r="F787" s="109"/>
      <c r="G787" s="28"/>
    </row>
    <row r="788" spans="1:7" ht="15.75" customHeight="1" x14ac:dyDescent="0.2">
      <c r="A788" s="27"/>
      <c r="F788" s="109"/>
      <c r="G788" s="28"/>
    </row>
    <row r="789" spans="1:7" ht="15.75" customHeight="1" x14ac:dyDescent="0.2">
      <c r="A789" s="27"/>
      <c r="F789" s="109"/>
      <c r="G789" s="28"/>
    </row>
    <row r="790" spans="1:7" ht="15.75" customHeight="1" x14ac:dyDescent="0.2">
      <c r="A790" s="27"/>
      <c r="F790" s="109"/>
      <c r="G790" s="28"/>
    </row>
    <row r="791" spans="1:7" ht="15.75" customHeight="1" x14ac:dyDescent="0.2">
      <c r="A791" s="27"/>
      <c r="F791" s="109"/>
      <c r="G791" s="28"/>
    </row>
    <row r="792" spans="1:7" ht="15.75" customHeight="1" x14ac:dyDescent="0.2">
      <c r="A792" s="27"/>
      <c r="F792" s="109"/>
      <c r="G792" s="28"/>
    </row>
    <row r="793" spans="1:7" ht="15.75" customHeight="1" x14ac:dyDescent="0.2">
      <c r="A793" s="27"/>
      <c r="F793" s="109"/>
      <c r="G793" s="28"/>
    </row>
    <row r="794" spans="1:7" ht="15.75" customHeight="1" x14ac:dyDescent="0.2">
      <c r="A794" s="27"/>
      <c r="F794" s="109"/>
      <c r="G794" s="28"/>
    </row>
    <row r="795" spans="1:7" ht="15.75" customHeight="1" x14ac:dyDescent="0.2">
      <c r="A795" s="27"/>
      <c r="F795" s="109"/>
      <c r="G795" s="28"/>
    </row>
    <row r="796" spans="1:7" ht="15.75" customHeight="1" x14ac:dyDescent="0.2">
      <c r="A796" s="27"/>
      <c r="F796" s="109"/>
      <c r="G796" s="28"/>
    </row>
    <row r="797" spans="1:7" ht="15.75" customHeight="1" x14ac:dyDescent="0.2">
      <c r="A797" s="27"/>
      <c r="F797" s="109"/>
      <c r="G797" s="28"/>
    </row>
    <row r="798" spans="1:7" ht="15.75" customHeight="1" x14ac:dyDescent="0.2">
      <c r="A798" s="27"/>
      <c r="F798" s="109"/>
      <c r="G798" s="28"/>
    </row>
    <row r="799" spans="1:7" ht="15.75" customHeight="1" x14ac:dyDescent="0.2">
      <c r="A799" s="27"/>
      <c r="F799" s="109"/>
      <c r="G799" s="28"/>
    </row>
    <row r="800" spans="1:7" ht="15.75" customHeight="1" x14ac:dyDescent="0.2">
      <c r="A800" s="27"/>
      <c r="F800" s="109"/>
      <c r="G800" s="28"/>
    </row>
    <row r="801" spans="1:7" ht="15.75" customHeight="1" x14ac:dyDescent="0.2">
      <c r="A801" s="27"/>
      <c r="F801" s="109"/>
      <c r="G801" s="28"/>
    </row>
    <row r="802" spans="1:7" ht="15.75" customHeight="1" x14ac:dyDescent="0.2">
      <c r="A802" s="27"/>
      <c r="F802" s="109"/>
      <c r="G802" s="28"/>
    </row>
    <row r="803" spans="1:7" ht="15.75" customHeight="1" x14ac:dyDescent="0.2">
      <c r="A803" s="27"/>
      <c r="F803" s="109"/>
      <c r="G803" s="28"/>
    </row>
    <row r="804" spans="1:7" ht="15.75" customHeight="1" x14ac:dyDescent="0.2">
      <c r="A804" s="27"/>
      <c r="F804" s="109"/>
      <c r="G804" s="28"/>
    </row>
    <row r="805" spans="1:7" ht="15.75" customHeight="1" x14ac:dyDescent="0.2">
      <c r="A805" s="27"/>
      <c r="F805" s="109"/>
      <c r="G805" s="28"/>
    </row>
    <row r="806" spans="1:7" ht="15.75" customHeight="1" x14ac:dyDescent="0.2">
      <c r="A806" s="27"/>
      <c r="F806" s="109"/>
      <c r="G806" s="28"/>
    </row>
    <row r="807" spans="1:7" ht="15.75" customHeight="1" x14ac:dyDescent="0.2">
      <c r="A807" s="27"/>
      <c r="F807" s="109"/>
      <c r="G807" s="28"/>
    </row>
    <row r="808" spans="1:7" ht="15.75" customHeight="1" x14ac:dyDescent="0.2">
      <c r="A808" s="27"/>
      <c r="F808" s="109"/>
      <c r="G808" s="28"/>
    </row>
    <row r="809" spans="1:7" ht="15.75" customHeight="1" x14ac:dyDescent="0.2">
      <c r="A809" s="27"/>
      <c r="F809" s="109"/>
      <c r="G809" s="28"/>
    </row>
    <row r="810" spans="1:7" ht="15.75" customHeight="1" x14ac:dyDescent="0.2">
      <c r="A810" s="27"/>
      <c r="F810" s="109"/>
      <c r="G810" s="28"/>
    </row>
    <row r="811" spans="1:7" ht="15.75" customHeight="1" x14ac:dyDescent="0.2">
      <c r="A811" s="27"/>
      <c r="F811" s="109"/>
      <c r="G811" s="28"/>
    </row>
    <row r="812" spans="1:7" ht="15.75" customHeight="1" x14ac:dyDescent="0.2">
      <c r="A812" s="27"/>
      <c r="F812" s="109"/>
      <c r="G812" s="28"/>
    </row>
    <row r="813" spans="1:7" ht="15.75" customHeight="1" x14ac:dyDescent="0.2">
      <c r="A813" s="27"/>
      <c r="F813" s="109"/>
      <c r="G813" s="28"/>
    </row>
    <row r="814" spans="1:7" ht="15.75" customHeight="1" x14ac:dyDescent="0.2">
      <c r="A814" s="27"/>
      <c r="F814" s="109"/>
      <c r="G814" s="28"/>
    </row>
    <row r="815" spans="1:7" ht="15.75" customHeight="1" x14ac:dyDescent="0.2">
      <c r="A815" s="27"/>
      <c r="F815" s="109"/>
      <c r="G815" s="28"/>
    </row>
    <row r="816" spans="1:7" ht="15.75" customHeight="1" x14ac:dyDescent="0.2">
      <c r="A816" s="27"/>
      <c r="F816" s="109"/>
      <c r="G816" s="28"/>
    </row>
    <row r="817" spans="1:7" ht="15.75" customHeight="1" x14ac:dyDescent="0.2">
      <c r="A817" s="27"/>
      <c r="F817" s="109"/>
      <c r="G817" s="28"/>
    </row>
    <row r="818" spans="1:7" ht="15.75" customHeight="1" x14ac:dyDescent="0.2">
      <c r="A818" s="27"/>
      <c r="F818" s="109"/>
      <c r="G818" s="28"/>
    </row>
    <row r="819" spans="1:7" ht="15.75" customHeight="1" x14ac:dyDescent="0.2">
      <c r="A819" s="27"/>
      <c r="F819" s="109"/>
      <c r="G819" s="28"/>
    </row>
    <row r="820" spans="1:7" ht="15.75" customHeight="1" x14ac:dyDescent="0.2">
      <c r="A820" s="27"/>
      <c r="F820" s="109"/>
      <c r="G820" s="28"/>
    </row>
    <row r="821" spans="1:7" ht="15.75" customHeight="1" x14ac:dyDescent="0.2">
      <c r="A821" s="27"/>
      <c r="F821" s="109"/>
      <c r="G821" s="28"/>
    </row>
    <row r="822" spans="1:7" ht="15.75" customHeight="1" x14ac:dyDescent="0.2">
      <c r="A822" s="27"/>
      <c r="F822" s="109"/>
      <c r="G822" s="28"/>
    </row>
    <row r="823" spans="1:7" ht="15.75" customHeight="1" x14ac:dyDescent="0.2">
      <c r="A823" s="27"/>
      <c r="F823" s="109"/>
      <c r="G823" s="28"/>
    </row>
    <row r="824" spans="1:7" ht="15.75" customHeight="1" x14ac:dyDescent="0.2">
      <c r="A824" s="27"/>
      <c r="F824" s="109"/>
      <c r="G824" s="28"/>
    </row>
    <row r="825" spans="1:7" ht="15.75" customHeight="1" x14ac:dyDescent="0.2">
      <c r="A825" s="27"/>
      <c r="F825" s="109"/>
      <c r="G825" s="28"/>
    </row>
    <row r="826" spans="1:7" ht="15.75" customHeight="1" x14ac:dyDescent="0.2">
      <c r="A826" s="27"/>
      <c r="F826" s="109"/>
      <c r="G826" s="28"/>
    </row>
    <row r="827" spans="1:7" ht="15.75" customHeight="1" x14ac:dyDescent="0.2">
      <c r="A827" s="27"/>
      <c r="F827" s="109"/>
      <c r="G827" s="28"/>
    </row>
    <row r="828" spans="1:7" ht="15.75" customHeight="1" x14ac:dyDescent="0.2">
      <c r="A828" s="27"/>
      <c r="F828" s="109"/>
      <c r="G828" s="28"/>
    </row>
    <row r="829" spans="1:7" ht="15.75" customHeight="1" x14ac:dyDescent="0.2">
      <c r="A829" s="27"/>
      <c r="F829" s="109"/>
      <c r="G829" s="28"/>
    </row>
    <row r="830" spans="1:7" ht="15.75" customHeight="1" x14ac:dyDescent="0.2">
      <c r="A830" s="27"/>
      <c r="F830" s="109"/>
      <c r="G830" s="28"/>
    </row>
    <row r="831" spans="1:7" ht="15.75" customHeight="1" x14ac:dyDescent="0.2">
      <c r="A831" s="27"/>
      <c r="F831" s="109"/>
      <c r="G831" s="28"/>
    </row>
    <row r="832" spans="1:7" ht="15.75" customHeight="1" x14ac:dyDescent="0.2">
      <c r="A832" s="27"/>
      <c r="F832" s="109"/>
      <c r="G832" s="28"/>
    </row>
    <row r="833" spans="1:7" ht="15.75" customHeight="1" x14ac:dyDescent="0.2">
      <c r="A833" s="27"/>
      <c r="F833" s="109"/>
      <c r="G833" s="28"/>
    </row>
    <row r="834" spans="1:7" ht="15.75" customHeight="1" x14ac:dyDescent="0.2">
      <c r="A834" s="27"/>
      <c r="F834" s="109"/>
      <c r="G834" s="28"/>
    </row>
    <row r="835" spans="1:7" ht="15.75" customHeight="1" x14ac:dyDescent="0.2">
      <c r="A835" s="27"/>
      <c r="F835" s="109"/>
      <c r="G835" s="28"/>
    </row>
    <row r="836" spans="1:7" ht="15.75" customHeight="1" x14ac:dyDescent="0.2">
      <c r="A836" s="27"/>
      <c r="F836" s="109"/>
      <c r="G836" s="28"/>
    </row>
    <row r="837" spans="1:7" ht="15.75" customHeight="1" x14ac:dyDescent="0.2">
      <c r="A837" s="27"/>
      <c r="F837" s="109"/>
      <c r="G837" s="28"/>
    </row>
    <row r="838" spans="1:7" ht="15.75" customHeight="1" x14ac:dyDescent="0.2">
      <c r="A838" s="27"/>
      <c r="F838" s="109"/>
      <c r="G838" s="28"/>
    </row>
    <row r="839" spans="1:7" ht="15.75" customHeight="1" x14ac:dyDescent="0.2">
      <c r="A839" s="27"/>
      <c r="F839" s="109"/>
      <c r="G839" s="28"/>
    </row>
    <row r="840" spans="1:7" ht="15.75" customHeight="1" x14ac:dyDescent="0.2">
      <c r="A840" s="27"/>
      <c r="F840" s="109"/>
      <c r="G840" s="28"/>
    </row>
    <row r="841" spans="1:7" ht="15.75" customHeight="1" x14ac:dyDescent="0.2">
      <c r="A841" s="27"/>
      <c r="F841" s="109"/>
      <c r="G841" s="28"/>
    </row>
    <row r="842" spans="1:7" ht="15.75" customHeight="1" x14ac:dyDescent="0.2">
      <c r="A842" s="27"/>
      <c r="F842" s="109"/>
      <c r="G842" s="28"/>
    </row>
    <row r="843" spans="1:7" ht="15.75" customHeight="1" x14ac:dyDescent="0.2">
      <c r="A843" s="27"/>
      <c r="F843" s="109"/>
      <c r="G843" s="28"/>
    </row>
    <row r="844" spans="1:7" ht="15.75" customHeight="1" x14ac:dyDescent="0.2">
      <c r="A844" s="27"/>
      <c r="F844" s="109"/>
      <c r="G844" s="28"/>
    </row>
    <row r="845" spans="1:7" ht="15.75" customHeight="1" x14ac:dyDescent="0.2">
      <c r="A845" s="27"/>
      <c r="F845" s="109"/>
      <c r="G845" s="28"/>
    </row>
    <row r="846" spans="1:7" ht="15.75" customHeight="1" x14ac:dyDescent="0.2">
      <c r="A846" s="27"/>
      <c r="F846" s="109"/>
      <c r="G846" s="28"/>
    </row>
    <row r="847" spans="1:7" ht="15.75" customHeight="1" x14ac:dyDescent="0.2">
      <c r="A847" s="27"/>
      <c r="F847" s="109"/>
      <c r="G847" s="28"/>
    </row>
    <row r="848" spans="1:7" ht="15.75" customHeight="1" x14ac:dyDescent="0.2">
      <c r="A848" s="27"/>
      <c r="F848" s="109"/>
      <c r="G848" s="28"/>
    </row>
    <row r="849" spans="1:7" ht="15.75" customHeight="1" x14ac:dyDescent="0.2">
      <c r="A849" s="27"/>
      <c r="F849" s="109"/>
      <c r="G849" s="28"/>
    </row>
    <row r="850" spans="1:7" ht="15.75" customHeight="1" x14ac:dyDescent="0.2">
      <c r="A850" s="27"/>
      <c r="F850" s="109"/>
      <c r="G850" s="28"/>
    </row>
    <row r="851" spans="1:7" ht="15.75" customHeight="1" x14ac:dyDescent="0.2">
      <c r="A851" s="27"/>
      <c r="F851" s="109"/>
      <c r="G851" s="28"/>
    </row>
    <row r="852" spans="1:7" ht="15.75" customHeight="1" x14ac:dyDescent="0.2">
      <c r="A852" s="27"/>
      <c r="F852" s="109"/>
      <c r="G852" s="28"/>
    </row>
    <row r="853" spans="1:7" ht="15.75" customHeight="1" x14ac:dyDescent="0.2">
      <c r="A853" s="27"/>
      <c r="F853" s="109"/>
      <c r="G853" s="28"/>
    </row>
    <row r="854" spans="1:7" ht="15.75" customHeight="1" x14ac:dyDescent="0.2">
      <c r="A854" s="27"/>
      <c r="F854" s="109"/>
      <c r="G854" s="28"/>
    </row>
    <row r="855" spans="1:7" ht="15.75" customHeight="1" x14ac:dyDescent="0.2">
      <c r="A855" s="27"/>
      <c r="F855" s="109"/>
      <c r="G855" s="28"/>
    </row>
    <row r="856" spans="1:7" ht="15.75" customHeight="1" x14ac:dyDescent="0.2">
      <c r="A856" s="27"/>
      <c r="F856" s="109"/>
      <c r="G856" s="28"/>
    </row>
    <row r="857" spans="1:7" ht="15.75" customHeight="1" x14ac:dyDescent="0.2">
      <c r="A857" s="27"/>
      <c r="F857" s="109"/>
      <c r="G857" s="28"/>
    </row>
    <row r="858" spans="1:7" ht="15.75" customHeight="1" x14ac:dyDescent="0.2">
      <c r="A858" s="27"/>
      <c r="F858" s="109"/>
      <c r="G858" s="28"/>
    </row>
    <row r="859" spans="1:7" ht="15.75" customHeight="1" x14ac:dyDescent="0.2">
      <c r="A859" s="27"/>
      <c r="F859" s="109"/>
      <c r="G859" s="28"/>
    </row>
    <row r="860" spans="1:7" ht="15.75" customHeight="1" x14ac:dyDescent="0.2">
      <c r="A860" s="27"/>
      <c r="F860" s="109"/>
      <c r="G860" s="28"/>
    </row>
    <row r="861" spans="1:7" ht="15.75" customHeight="1" x14ac:dyDescent="0.2">
      <c r="A861" s="27"/>
      <c r="F861" s="109"/>
      <c r="G861" s="28"/>
    </row>
    <row r="862" spans="1:7" ht="15.75" customHeight="1" x14ac:dyDescent="0.2">
      <c r="A862" s="27"/>
      <c r="F862" s="109"/>
      <c r="G862" s="28"/>
    </row>
    <row r="863" spans="1:7" ht="15.75" customHeight="1" x14ac:dyDescent="0.2">
      <c r="A863" s="27"/>
      <c r="F863" s="109"/>
      <c r="G863" s="28"/>
    </row>
    <row r="864" spans="1:7" ht="15.75" customHeight="1" x14ac:dyDescent="0.2">
      <c r="A864" s="27"/>
      <c r="F864" s="109"/>
      <c r="G864" s="28"/>
    </row>
    <row r="865" spans="1:7" ht="15.75" customHeight="1" x14ac:dyDescent="0.2">
      <c r="A865" s="27"/>
      <c r="F865" s="109"/>
      <c r="G865" s="28"/>
    </row>
    <row r="866" spans="1:7" ht="15.75" customHeight="1" x14ac:dyDescent="0.2">
      <c r="A866" s="27"/>
      <c r="F866" s="109"/>
      <c r="G866" s="28"/>
    </row>
    <row r="867" spans="1:7" ht="15.75" customHeight="1" x14ac:dyDescent="0.2">
      <c r="A867" s="27"/>
      <c r="F867" s="109"/>
      <c r="G867" s="28"/>
    </row>
    <row r="868" spans="1:7" ht="15.75" customHeight="1" x14ac:dyDescent="0.2">
      <c r="A868" s="27"/>
      <c r="F868" s="109"/>
      <c r="G868" s="28"/>
    </row>
    <row r="869" spans="1:7" ht="15.75" customHeight="1" x14ac:dyDescent="0.2">
      <c r="A869" s="27"/>
      <c r="F869" s="109"/>
      <c r="G869" s="28"/>
    </row>
    <row r="870" spans="1:7" ht="15.75" customHeight="1" x14ac:dyDescent="0.2">
      <c r="A870" s="27"/>
      <c r="F870" s="109"/>
      <c r="G870" s="28"/>
    </row>
    <row r="871" spans="1:7" ht="15.75" customHeight="1" x14ac:dyDescent="0.2">
      <c r="A871" s="27"/>
      <c r="F871" s="109"/>
      <c r="G871" s="28"/>
    </row>
    <row r="872" spans="1:7" ht="15.75" customHeight="1" x14ac:dyDescent="0.2">
      <c r="A872" s="27"/>
      <c r="F872" s="109"/>
      <c r="G872" s="28"/>
    </row>
    <row r="873" spans="1:7" ht="15.75" customHeight="1" x14ac:dyDescent="0.2">
      <c r="A873" s="27"/>
      <c r="F873" s="109"/>
      <c r="G873" s="28"/>
    </row>
    <row r="874" spans="1:7" ht="15.75" customHeight="1" x14ac:dyDescent="0.2">
      <c r="A874" s="27"/>
      <c r="F874" s="109"/>
      <c r="G874" s="28"/>
    </row>
    <row r="875" spans="1:7" ht="15.75" customHeight="1" x14ac:dyDescent="0.2">
      <c r="A875" s="27"/>
      <c r="F875" s="109"/>
      <c r="G875" s="28"/>
    </row>
    <row r="876" spans="1:7" ht="15.75" customHeight="1" x14ac:dyDescent="0.2">
      <c r="A876" s="27"/>
      <c r="F876" s="109"/>
      <c r="G876" s="28"/>
    </row>
    <row r="877" spans="1:7" ht="15.75" customHeight="1" x14ac:dyDescent="0.2">
      <c r="A877" s="27"/>
      <c r="F877" s="109"/>
      <c r="G877" s="28"/>
    </row>
    <row r="878" spans="1:7" ht="15.75" customHeight="1" x14ac:dyDescent="0.2">
      <c r="A878" s="27"/>
      <c r="F878" s="109"/>
      <c r="G878" s="28"/>
    </row>
    <row r="879" spans="1:7" ht="15.75" customHeight="1" x14ac:dyDescent="0.2">
      <c r="A879" s="27"/>
      <c r="F879" s="109"/>
      <c r="G879" s="28"/>
    </row>
    <row r="880" spans="1:7" ht="15.75" customHeight="1" x14ac:dyDescent="0.2">
      <c r="A880" s="27"/>
      <c r="F880" s="109"/>
      <c r="G880" s="28"/>
    </row>
    <row r="881" spans="1:7" ht="15.75" customHeight="1" x14ac:dyDescent="0.2">
      <c r="A881" s="27"/>
      <c r="F881" s="109"/>
      <c r="G881" s="28"/>
    </row>
    <row r="882" spans="1:7" ht="15.75" customHeight="1" x14ac:dyDescent="0.2">
      <c r="A882" s="27"/>
      <c r="F882" s="109"/>
      <c r="G882" s="28"/>
    </row>
    <row r="883" spans="1:7" ht="15.75" customHeight="1" x14ac:dyDescent="0.2">
      <c r="A883" s="27"/>
      <c r="F883" s="109"/>
      <c r="G883" s="28"/>
    </row>
    <row r="884" spans="1:7" ht="15.75" customHeight="1" x14ac:dyDescent="0.2">
      <c r="A884" s="27"/>
      <c r="F884" s="109"/>
      <c r="G884" s="28"/>
    </row>
    <row r="885" spans="1:7" ht="15.75" customHeight="1" x14ac:dyDescent="0.2">
      <c r="A885" s="27"/>
      <c r="F885" s="109"/>
      <c r="G885" s="28"/>
    </row>
    <row r="886" spans="1:7" ht="15.75" customHeight="1" x14ac:dyDescent="0.2">
      <c r="A886" s="27"/>
      <c r="F886" s="109"/>
      <c r="G886" s="28"/>
    </row>
    <row r="887" spans="1:7" ht="15.75" customHeight="1" x14ac:dyDescent="0.2">
      <c r="A887" s="27"/>
      <c r="F887" s="109"/>
      <c r="G887" s="28"/>
    </row>
    <row r="888" spans="1:7" ht="15.75" customHeight="1" x14ac:dyDescent="0.2">
      <c r="A888" s="27"/>
      <c r="F888" s="109"/>
      <c r="G888" s="28"/>
    </row>
    <row r="889" spans="1:7" ht="15.75" customHeight="1" x14ac:dyDescent="0.2">
      <c r="A889" s="27"/>
      <c r="F889" s="109"/>
      <c r="G889" s="28"/>
    </row>
    <row r="890" spans="1:7" ht="15.75" customHeight="1" x14ac:dyDescent="0.2">
      <c r="A890" s="27"/>
      <c r="F890" s="109"/>
      <c r="G890" s="28"/>
    </row>
    <row r="891" spans="1:7" ht="15.75" customHeight="1" x14ac:dyDescent="0.2">
      <c r="A891" s="27"/>
      <c r="F891" s="109"/>
      <c r="G891" s="28"/>
    </row>
    <row r="892" spans="1:7" ht="15.75" customHeight="1" x14ac:dyDescent="0.2">
      <c r="A892" s="27"/>
      <c r="F892" s="109"/>
      <c r="G892" s="28"/>
    </row>
    <row r="893" spans="1:7" ht="15.75" customHeight="1" x14ac:dyDescent="0.2">
      <c r="A893" s="27"/>
      <c r="F893" s="109"/>
      <c r="G893" s="28"/>
    </row>
    <row r="894" spans="1:7" ht="15.75" customHeight="1" x14ac:dyDescent="0.2">
      <c r="A894" s="27"/>
      <c r="F894" s="109"/>
      <c r="G894" s="28"/>
    </row>
    <row r="895" spans="1:7" ht="15.75" customHeight="1" x14ac:dyDescent="0.2">
      <c r="A895" s="27"/>
      <c r="F895" s="109"/>
      <c r="G895" s="28"/>
    </row>
    <row r="896" spans="1:7" ht="15.75" customHeight="1" x14ac:dyDescent="0.2">
      <c r="A896" s="27"/>
      <c r="F896" s="109"/>
      <c r="G896" s="28"/>
    </row>
    <row r="897" spans="1:7" ht="15.75" customHeight="1" x14ac:dyDescent="0.2">
      <c r="A897" s="27"/>
      <c r="F897" s="109"/>
      <c r="G897" s="28"/>
    </row>
    <row r="898" spans="1:7" ht="15.75" customHeight="1" x14ac:dyDescent="0.2">
      <c r="A898" s="27"/>
      <c r="F898" s="109"/>
      <c r="G898" s="28"/>
    </row>
    <row r="899" spans="1:7" ht="15.75" customHeight="1" x14ac:dyDescent="0.2">
      <c r="A899" s="27"/>
      <c r="F899" s="109"/>
      <c r="G899" s="28"/>
    </row>
    <row r="900" spans="1:7" ht="15.75" customHeight="1" x14ac:dyDescent="0.2">
      <c r="A900" s="27"/>
      <c r="F900" s="109"/>
      <c r="G900" s="28"/>
    </row>
    <row r="901" spans="1:7" ht="15.75" customHeight="1" x14ac:dyDescent="0.2">
      <c r="A901" s="27"/>
      <c r="F901" s="109"/>
      <c r="G901" s="28"/>
    </row>
    <row r="902" spans="1:7" ht="15.75" customHeight="1" x14ac:dyDescent="0.2">
      <c r="A902" s="27"/>
      <c r="F902" s="109"/>
      <c r="G902" s="28"/>
    </row>
    <row r="903" spans="1:7" ht="15.75" customHeight="1" x14ac:dyDescent="0.2">
      <c r="A903" s="27"/>
      <c r="F903" s="109"/>
      <c r="G903" s="28"/>
    </row>
    <row r="904" spans="1:7" ht="15.75" customHeight="1" x14ac:dyDescent="0.2">
      <c r="A904" s="27"/>
      <c r="F904" s="109"/>
      <c r="G904" s="28"/>
    </row>
    <row r="905" spans="1:7" ht="15.75" customHeight="1" x14ac:dyDescent="0.2">
      <c r="A905" s="27"/>
      <c r="F905" s="109"/>
      <c r="G905" s="28"/>
    </row>
    <row r="906" spans="1:7" ht="15.75" customHeight="1" x14ac:dyDescent="0.2">
      <c r="A906" s="27"/>
      <c r="F906" s="109"/>
      <c r="G906" s="28"/>
    </row>
    <row r="907" spans="1:7" ht="15.75" customHeight="1" x14ac:dyDescent="0.2">
      <c r="A907" s="27"/>
      <c r="F907" s="109"/>
      <c r="G907" s="28"/>
    </row>
    <row r="908" spans="1:7" ht="15.75" customHeight="1" x14ac:dyDescent="0.2">
      <c r="A908" s="27"/>
      <c r="F908" s="109"/>
      <c r="G908" s="28"/>
    </row>
    <row r="909" spans="1:7" ht="15.75" customHeight="1" x14ac:dyDescent="0.2">
      <c r="A909" s="27"/>
      <c r="F909" s="109"/>
      <c r="G909" s="28"/>
    </row>
    <row r="910" spans="1:7" ht="15.75" customHeight="1" x14ac:dyDescent="0.2">
      <c r="A910" s="27"/>
      <c r="F910" s="109"/>
      <c r="G910" s="28"/>
    </row>
    <row r="911" spans="1:7" ht="15.75" customHeight="1" x14ac:dyDescent="0.2">
      <c r="A911" s="27"/>
      <c r="F911" s="109"/>
      <c r="G911" s="28"/>
    </row>
    <row r="912" spans="1:7" ht="15.75" customHeight="1" x14ac:dyDescent="0.2">
      <c r="A912" s="27"/>
      <c r="F912" s="109"/>
      <c r="G912" s="28"/>
    </row>
    <row r="913" spans="1:7" ht="15.75" customHeight="1" x14ac:dyDescent="0.2">
      <c r="A913" s="27"/>
      <c r="F913" s="109"/>
      <c r="G913" s="28"/>
    </row>
    <row r="914" spans="1:7" ht="15.75" customHeight="1" x14ac:dyDescent="0.2">
      <c r="A914" s="27"/>
      <c r="F914" s="109"/>
      <c r="G914" s="28"/>
    </row>
    <row r="915" spans="1:7" ht="15.75" customHeight="1" x14ac:dyDescent="0.2">
      <c r="A915" s="27"/>
      <c r="F915" s="109"/>
      <c r="G915" s="28"/>
    </row>
    <row r="916" spans="1:7" ht="15.75" customHeight="1" x14ac:dyDescent="0.2">
      <c r="A916" s="27"/>
      <c r="F916" s="109"/>
      <c r="G916" s="28"/>
    </row>
    <row r="917" spans="1:7" ht="15.75" customHeight="1" x14ac:dyDescent="0.2">
      <c r="A917" s="27"/>
      <c r="F917" s="109"/>
      <c r="G917" s="28"/>
    </row>
    <row r="918" spans="1:7" ht="15.75" customHeight="1" x14ac:dyDescent="0.2">
      <c r="A918" s="27"/>
      <c r="F918" s="109"/>
      <c r="G918" s="28"/>
    </row>
    <row r="919" spans="1:7" ht="15.75" customHeight="1" x14ac:dyDescent="0.2">
      <c r="A919" s="27"/>
      <c r="F919" s="109"/>
      <c r="G919" s="28"/>
    </row>
    <row r="920" spans="1:7" ht="15.75" customHeight="1" x14ac:dyDescent="0.2">
      <c r="A920" s="27"/>
      <c r="F920" s="109"/>
      <c r="G920" s="28"/>
    </row>
    <row r="921" spans="1:7" ht="15.75" customHeight="1" x14ac:dyDescent="0.2">
      <c r="A921" s="27"/>
      <c r="F921" s="109"/>
      <c r="G921" s="28"/>
    </row>
    <row r="922" spans="1:7" ht="15.75" customHeight="1" x14ac:dyDescent="0.2">
      <c r="A922" s="27"/>
      <c r="F922" s="109"/>
      <c r="G922" s="28"/>
    </row>
    <row r="923" spans="1:7" ht="15.75" customHeight="1" x14ac:dyDescent="0.2">
      <c r="A923" s="27"/>
      <c r="F923" s="109"/>
      <c r="G923" s="28"/>
    </row>
    <row r="924" spans="1:7" ht="15.75" customHeight="1" x14ac:dyDescent="0.2">
      <c r="A924" s="27"/>
      <c r="F924" s="109"/>
      <c r="G924" s="28"/>
    </row>
    <row r="925" spans="1:7" ht="15.75" customHeight="1" x14ac:dyDescent="0.2">
      <c r="A925" s="27"/>
      <c r="F925" s="109"/>
      <c r="G925" s="28"/>
    </row>
    <row r="926" spans="1:7" ht="15.75" customHeight="1" x14ac:dyDescent="0.2">
      <c r="A926" s="27"/>
      <c r="F926" s="109"/>
      <c r="G926" s="28"/>
    </row>
    <row r="927" spans="1:7" ht="15.75" customHeight="1" x14ac:dyDescent="0.2">
      <c r="A927" s="27"/>
      <c r="F927" s="109"/>
      <c r="G927" s="28"/>
    </row>
    <row r="928" spans="1:7" ht="15.75" customHeight="1" x14ac:dyDescent="0.2">
      <c r="A928" s="27"/>
      <c r="F928" s="109"/>
      <c r="G928" s="28"/>
    </row>
    <row r="929" spans="1:7" ht="15.75" customHeight="1" x14ac:dyDescent="0.2">
      <c r="A929" s="27"/>
      <c r="F929" s="109"/>
      <c r="G929" s="28"/>
    </row>
    <row r="930" spans="1:7" ht="15.75" customHeight="1" x14ac:dyDescent="0.2">
      <c r="A930" s="27"/>
      <c r="F930" s="109"/>
      <c r="G930" s="28"/>
    </row>
    <row r="931" spans="1:7" ht="15.75" customHeight="1" x14ac:dyDescent="0.2">
      <c r="A931" s="27"/>
      <c r="F931" s="109"/>
      <c r="G931" s="28"/>
    </row>
    <row r="932" spans="1:7" ht="15.75" customHeight="1" x14ac:dyDescent="0.2">
      <c r="A932" s="27"/>
      <c r="F932" s="109"/>
      <c r="G932" s="28"/>
    </row>
    <row r="933" spans="1:7" ht="15.75" customHeight="1" x14ac:dyDescent="0.2">
      <c r="A933" s="27"/>
      <c r="F933" s="109"/>
      <c r="G933" s="28"/>
    </row>
    <row r="934" spans="1:7" ht="15.75" customHeight="1" x14ac:dyDescent="0.2">
      <c r="A934" s="27"/>
      <c r="F934" s="109"/>
      <c r="G934" s="28"/>
    </row>
    <row r="935" spans="1:7" ht="15.75" customHeight="1" x14ac:dyDescent="0.2">
      <c r="A935" s="27"/>
      <c r="F935" s="109"/>
      <c r="G935" s="28"/>
    </row>
    <row r="936" spans="1:7" ht="15.75" customHeight="1" x14ac:dyDescent="0.2">
      <c r="A936" s="27"/>
      <c r="F936" s="109"/>
      <c r="G936" s="28"/>
    </row>
    <row r="937" spans="1:7" ht="15.75" customHeight="1" x14ac:dyDescent="0.2">
      <c r="A937" s="27"/>
      <c r="F937" s="109"/>
      <c r="G937" s="28"/>
    </row>
    <row r="938" spans="1:7" ht="15.75" customHeight="1" x14ac:dyDescent="0.2">
      <c r="A938" s="27"/>
      <c r="F938" s="109"/>
      <c r="G938" s="28"/>
    </row>
    <row r="939" spans="1:7" ht="15.75" customHeight="1" x14ac:dyDescent="0.2">
      <c r="A939" s="27"/>
      <c r="F939" s="109"/>
      <c r="G939" s="28"/>
    </row>
    <row r="940" spans="1:7" ht="15.75" customHeight="1" x14ac:dyDescent="0.2">
      <c r="A940" s="27"/>
      <c r="F940" s="109"/>
      <c r="G940" s="28"/>
    </row>
    <row r="941" spans="1:7" ht="15.75" customHeight="1" x14ac:dyDescent="0.2">
      <c r="A941" s="27"/>
      <c r="F941" s="109"/>
      <c r="G941" s="28"/>
    </row>
    <row r="942" spans="1:7" ht="15.75" customHeight="1" x14ac:dyDescent="0.2">
      <c r="A942" s="27"/>
      <c r="F942" s="109"/>
      <c r="G942" s="28"/>
    </row>
    <row r="943" spans="1:7" ht="15.75" customHeight="1" x14ac:dyDescent="0.2">
      <c r="A943" s="27"/>
      <c r="F943" s="109"/>
      <c r="G943" s="28"/>
    </row>
    <row r="944" spans="1:7" ht="15.75" customHeight="1" x14ac:dyDescent="0.2">
      <c r="A944" s="27"/>
      <c r="F944" s="109"/>
      <c r="G944" s="28"/>
    </row>
    <row r="945" spans="1:7" ht="15.75" customHeight="1" x14ac:dyDescent="0.2">
      <c r="A945" s="27"/>
      <c r="F945" s="109"/>
      <c r="G945" s="28"/>
    </row>
    <row r="946" spans="1:7" ht="15.75" customHeight="1" x14ac:dyDescent="0.2">
      <c r="A946" s="27"/>
      <c r="F946" s="109"/>
      <c r="G946" s="28"/>
    </row>
    <row r="947" spans="1:7" ht="15.75" customHeight="1" x14ac:dyDescent="0.2">
      <c r="A947" s="27"/>
      <c r="F947" s="109"/>
      <c r="G947" s="28"/>
    </row>
    <row r="948" spans="1:7" ht="15.75" customHeight="1" x14ac:dyDescent="0.2">
      <c r="A948" s="27"/>
      <c r="F948" s="109"/>
      <c r="G948" s="28"/>
    </row>
    <row r="949" spans="1:7" ht="15.75" customHeight="1" x14ac:dyDescent="0.2">
      <c r="A949" s="27"/>
      <c r="F949" s="109"/>
      <c r="G949" s="28"/>
    </row>
    <row r="950" spans="1:7" ht="15.75" customHeight="1" x14ac:dyDescent="0.2">
      <c r="A950" s="27"/>
      <c r="F950" s="109"/>
      <c r="G950" s="28"/>
    </row>
    <row r="951" spans="1:7" ht="15.75" customHeight="1" x14ac:dyDescent="0.2">
      <c r="A951" s="27"/>
      <c r="F951" s="109"/>
      <c r="G951" s="28"/>
    </row>
    <row r="952" spans="1:7" ht="15.75" customHeight="1" x14ac:dyDescent="0.2">
      <c r="A952" s="27"/>
      <c r="F952" s="109"/>
      <c r="G952" s="28"/>
    </row>
    <row r="953" spans="1:7" ht="15.75" customHeight="1" x14ac:dyDescent="0.2">
      <c r="A953" s="27"/>
      <c r="F953" s="109"/>
      <c r="G953" s="28"/>
    </row>
    <row r="954" spans="1:7" ht="15.75" customHeight="1" x14ac:dyDescent="0.2">
      <c r="A954" s="27"/>
      <c r="F954" s="109"/>
      <c r="G954" s="28"/>
    </row>
    <row r="955" spans="1:7" ht="15.75" customHeight="1" x14ac:dyDescent="0.2">
      <c r="A955" s="27"/>
      <c r="F955" s="109"/>
      <c r="G955" s="28"/>
    </row>
    <row r="956" spans="1:7" ht="15.75" customHeight="1" x14ac:dyDescent="0.2">
      <c r="A956" s="27"/>
      <c r="F956" s="109"/>
      <c r="G956" s="28"/>
    </row>
    <row r="957" spans="1:7" ht="15.75" customHeight="1" x14ac:dyDescent="0.2">
      <c r="A957" s="27"/>
      <c r="F957" s="109"/>
      <c r="G957" s="28"/>
    </row>
    <row r="958" spans="1:7" ht="15.75" customHeight="1" x14ac:dyDescent="0.2">
      <c r="A958" s="27"/>
      <c r="F958" s="109"/>
      <c r="G958" s="28"/>
    </row>
    <row r="959" spans="1:7" ht="15.75" customHeight="1" x14ac:dyDescent="0.2">
      <c r="A959" s="27"/>
      <c r="F959" s="109"/>
      <c r="G959" s="28"/>
    </row>
    <row r="960" spans="1:7" ht="15.75" customHeight="1" x14ac:dyDescent="0.2">
      <c r="A960" s="27"/>
      <c r="F960" s="109"/>
      <c r="G960" s="28"/>
    </row>
    <row r="961" spans="1:7" ht="15.75" customHeight="1" x14ac:dyDescent="0.2">
      <c r="A961" s="27"/>
      <c r="F961" s="109"/>
      <c r="G961" s="28"/>
    </row>
    <row r="962" spans="1:7" ht="15.75" customHeight="1" x14ac:dyDescent="0.2">
      <c r="A962" s="27"/>
      <c r="F962" s="109"/>
      <c r="G962" s="28"/>
    </row>
    <row r="963" spans="1:7" ht="15.75" customHeight="1" x14ac:dyDescent="0.2">
      <c r="A963" s="27"/>
      <c r="F963" s="109"/>
      <c r="G963" s="28"/>
    </row>
    <row r="964" spans="1:7" ht="15.75" customHeight="1" x14ac:dyDescent="0.2">
      <c r="A964" s="27"/>
      <c r="F964" s="109"/>
      <c r="G964" s="28"/>
    </row>
    <row r="965" spans="1:7" ht="15.75" customHeight="1" x14ac:dyDescent="0.2">
      <c r="A965" s="27"/>
      <c r="F965" s="109"/>
      <c r="G965" s="28"/>
    </row>
    <row r="966" spans="1:7" ht="15.75" customHeight="1" x14ac:dyDescent="0.2">
      <c r="A966" s="27"/>
      <c r="F966" s="109"/>
      <c r="G966" s="28"/>
    </row>
    <row r="967" spans="1:7" ht="15.75" customHeight="1" x14ac:dyDescent="0.2">
      <c r="A967" s="27"/>
      <c r="F967" s="109"/>
      <c r="G967" s="28"/>
    </row>
    <row r="968" spans="1:7" ht="15.75" customHeight="1" x14ac:dyDescent="0.2">
      <c r="A968" s="27"/>
      <c r="F968" s="109"/>
      <c r="G968" s="28"/>
    </row>
    <row r="969" spans="1:7" ht="15.75" customHeight="1" x14ac:dyDescent="0.2">
      <c r="A969" s="27"/>
      <c r="F969" s="109"/>
      <c r="G969" s="28"/>
    </row>
    <row r="970" spans="1:7" ht="15.75" customHeight="1" x14ac:dyDescent="0.2">
      <c r="A970" s="27"/>
      <c r="F970" s="109"/>
      <c r="G970" s="28"/>
    </row>
    <row r="971" spans="1:7" ht="15.75" customHeight="1" x14ac:dyDescent="0.2">
      <c r="A971" s="27"/>
      <c r="F971" s="109"/>
      <c r="G971" s="28"/>
    </row>
    <row r="972" spans="1:7" ht="15.75" customHeight="1" x14ac:dyDescent="0.2">
      <c r="A972" s="27"/>
      <c r="F972" s="109"/>
      <c r="G972" s="28"/>
    </row>
    <row r="973" spans="1:7" ht="15.75" customHeight="1" x14ac:dyDescent="0.2">
      <c r="A973" s="27"/>
      <c r="F973" s="109"/>
      <c r="G973" s="28"/>
    </row>
    <row r="974" spans="1:7" ht="15.75" customHeight="1" x14ac:dyDescent="0.2">
      <c r="A974" s="27"/>
      <c r="F974" s="109"/>
      <c r="G974" s="28"/>
    </row>
    <row r="975" spans="1:7" ht="15.75" customHeight="1" x14ac:dyDescent="0.2">
      <c r="A975" s="27"/>
      <c r="F975" s="109"/>
      <c r="G975" s="28"/>
    </row>
    <row r="976" spans="1:7" ht="15.75" customHeight="1" x14ac:dyDescent="0.2">
      <c r="A976" s="27"/>
      <c r="F976" s="109"/>
      <c r="G976" s="28"/>
    </row>
    <row r="977" spans="1:7" ht="15.75" customHeight="1" x14ac:dyDescent="0.2">
      <c r="A977" s="27"/>
      <c r="F977" s="109"/>
      <c r="G977" s="28"/>
    </row>
    <row r="978" spans="1:7" ht="15.75" customHeight="1" x14ac:dyDescent="0.2">
      <c r="A978" s="27"/>
      <c r="F978" s="109"/>
      <c r="G978" s="28"/>
    </row>
    <row r="979" spans="1:7" ht="15.75" customHeight="1" x14ac:dyDescent="0.2">
      <c r="A979" s="27"/>
      <c r="F979" s="109"/>
      <c r="G979" s="28"/>
    </row>
    <row r="980" spans="1:7" ht="15.75" customHeight="1" x14ac:dyDescent="0.2">
      <c r="A980" s="27"/>
      <c r="F980" s="109"/>
      <c r="G980" s="28"/>
    </row>
    <row r="981" spans="1:7" ht="15.75" customHeight="1" x14ac:dyDescent="0.2">
      <c r="A981" s="27"/>
      <c r="F981" s="109"/>
      <c r="G981" s="28"/>
    </row>
    <row r="982" spans="1:7" ht="15.75" customHeight="1" x14ac:dyDescent="0.2">
      <c r="A982" s="27"/>
      <c r="F982" s="109"/>
      <c r="G982" s="28"/>
    </row>
    <row r="983" spans="1:7" ht="15.75" customHeight="1" x14ac:dyDescent="0.2">
      <c r="A983" s="27"/>
      <c r="F983" s="109"/>
      <c r="G983" s="28"/>
    </row>
    <row r="984" spans="1:7" ht="15.75" customHeight="1" x14ac:dyDescent="0.2">
      <c r="A984" s="27"/>
      <c r="F984" s="109"/>
      <c r="G984" s="28"/>
    </row>
    <row r="985" spans="1:7" ht="15.75" customHeight="1" x14ac:dyDescent="0.2">
      <c r="A985" s="27"/>
      <c r="F985" s="109"/>
      <c r="G985" s="28"/>
    </row>
    <row r="986" spans="1:7" ht="15.75" customHeight="1" x14ac:dyDescent="0.2">
      <c r="A986" s="27"/>
      <c r="F986" s="109"/>
      <c r="G986" s="28"/>
    </row>
    <row r="987" spans="1:7" ht="15.75" customHeight="1" x14ac:dyDescent="0.2">
      <c r="A987" s="27"/>
      <c r="F987" s="109"/>
      <c r="G987" s="28"/>
    </row>
    <row r="988" spans="1:7" ht="15.75" customHeight="1" x14ac:dyDescent="0.2">
      <c r="A988" s="27"/>
      <c r="F988" s="109"/>
      <c r="G988" s="28"/>
    </row>
    <row r="989" spans="1:7" ht="15.75" customHeight="1" x14ac:dyDescent="0.2">
      <c r="A989" s="27"/>
      <c r="F989" s="109"/>
      <c r="G989" s="28"/>
    </row>
    <row r="990" spans="1:7" ht="15.75" customHeight="1" x14ac:dyDescent="0.2">
      <c r="A990" s="27"/>
      <c r="F990" s="109"/>
      <c r="G990" s="28"/>
    </row>
    <row r="991" spans="1:7" ht="15.75" customHeight="1" x14ac:dyDescent="0.2">
      <c r="A991" s="27"/>
      <c r="F991" s="109"/>
      <c r="G991" s="28"/>
    </row>
    <row r="992" spans="1:7" ht="15.75" customHeight="1" x14ac:dyDescent="0.2">
      <c r="A992" s="27"/>
      <c r="F992" s="109"/>
      <c r="G992" s="28"/>
    </row>
    <row r="993" spans="1:7" ht="15.75" customHeight="1" x14ac:dyDescent="0.2">
      <c r="A993" s="27"/>
      <c r="F993" s="109"/>
      <c r="G993" s="28"/>
    </row>
    <row r="994" spans="1:7" ht="15.75" customHeight="1" x14ac:dyDescent="0.2">
      <c r="A994" s="27"/>
      <c r="F994" s="109"/>
      <c r="G994" s="28"/>
    </row>
    <row r="995" spans="1:7" ht="15.75" customHeight="1" x14ac:dyDescent="0.2">
      <c r="A995" s="27"/>
      <c r="F995" s="109"/>
      <c r="G995" s="28"/>
    </row>
    <row r="996" spans="1:7" ht="15.75" customHeight="1" x14ac:dyDescent="0.2">
      <c r="A996" s="27"/>
      <c r="F996" s="109"/>
      <c r="G996" s="28"/>
    </row>
    <row r="997" spans="1:7" ht="15.75" customHeight="1" x14ac:dyDescent="0.2">
      <c r="A997" s="27"/>
      <c r="F997" s="109"/>
      <c r="G997" s="28"/>
    </row>
    <row r="998" spans="1:7" ht="15.75" customHeight="1" x14ac:dyDescent="0.2">
      <c r="A998" s="27"/>
      <c r="F998" s="109"/>
      <c r="G998" s="28"/>
    </row>
    <row r="999" spans="1:7" ht="15.75" customHeight="1" x14ac:dyDescent="0.2">
      <c r="A999" s="27"/>
      <c r="F999" s="109"/>
      <c r="G999" s="28"/>
    </row>
    <row r="1000" spans="1:7" ht="15.75" customHeight="1" x14ac:dyDescent="0.2">
      <c r="A1000" s="27"/>
      <c r="F1000" s="109"/>
      <c r="G1000" s="28"/>
    </row>
  </sheetData>
  <mergeCells count="7">
    <mergeCell ref="A2:I2"/>
    <mergeCell ref="B7:B9"/>
    <mergeCell ref="G7:G9"/>
    <mergeCell ref="H7:H9"/>
    <mergeCell ref="C8:D8"/>
    <mergeCell ref="E8:F8"/>
    <mergeCell ref="C7:F7"/>
  </mergeCells>
  <phoneticPr fontId="11" type="noConversion"/>
  <conditionalFormatting sqref="H1:H75 H77:H1048576">
    <cfRule type="top10" dxfId="155" priority="8" rank="10"/>
  </conditionalFormatting>
  <conditionalFormatting sqref="F69:F75 F1:F67 F77:F1048576">
    <cfRule type="top10" dxfId="154" priority="7" rank="10"/>
  </conditionalFormatting>
  <conditionalFormatting sqref="D1:D75 D77:D1048576">
    <cfRule type="top10" dxfId="153" priority="6" rank="10"/>
  </conditionalFormatting>
  <conditionalFormatting sqref="D10:D75">
    <cfRule type="top10" dxfId="152" priority="5" bottom="1" rank="10"/>
  </conditionalFormatting>
  <conditionalFormatting sqref="F69:F75 F10:F67">
    <cfRule type="top10" dxfId="151" priority="4" bottom="1" rank="10"/>
  </conditionalFormatting>
  <conditionalFormatting sqref="H10:H75">
    <cfRule type="top10" dxfId="150" priority="3" bottom="1" rank="10"/>
  </conditionalFormatting>
  <conditionalFormatting sqref="E67">
    <cfRule type="top10" dxfId="149" priority="2" rank="10"/>
  </conditionalFormatting>
  <conditionalFormatting sqref="E67">
    <cfRule type="top10" dxfId="148" priority="1" bottom="1" rank="10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45EA-6CA9-644A-9EFA-44953F9DA727}">
  <dimension ref="B2:C662"/>
  <sheetViews>
    <sheetView zoomScale="150" workbookViewId="0">
      <selection activeCell="M6" sqref="M6"/>
    </sheetView>
  </sheetViews>
  <sheetFormatPr baseColWidth="10" defaultRowHeight="15" x14ac:dyDescent="0.2"/>
  <cols>
    <col min="3" max="3" width="10.83203125" style="75"/>
  </cols>
  <sheetData>
    <row r="2" spans="2:3" x14ac:dyDescent="0.2">
      <c r="B2" s="69" t="s">
        <v>23</v>
      </c>
      <c r="C2" s="72" t="s">
        <v>24</v>
      </c>
    </row>
    <row r="3" spans="2:3" x14ac:dyDescent="0.2">
      <c r="B3" s="70">
        <v>5.22</v>
      </c>
      <c r="C3" s="73">
        <v>48.26</v>
      </c>
    </row>
    <row r="4" spans="2:3" x14ac:dyDescent="0.2">
      <c r="B4" s="71">
        <v>6.17</v>
      </c>
      <c r="C4" s="74">
        <v>55.46</v>
      </c>
    </row>
    <row r="5" spans="2:3" x14ac:dyDescent="0.2">
      <c r="B5" s="70">
        <v>5.36</v>
      </c>
      <c r="C5" s="73">
        <v>53.2</v>
      </c>
    </row>
    <row r="6" spans="2:3" x14ac:dyDescent="0.2">
      <c r="B6" s="71">
        <v>5.46</v>
      </c>
      <c r="C6" s="74">
        <v>47.61</v>
      </c>
    </row>
    <row r="7" spans="2:3" x14ac:dyDescent="0.2">
      <c r="B7" s="70">
        <v>9.77</v>
      </c>
      <c r="C7" s="73">
        <v>81.569999999999993</v>
      </c>
    </row>
    <row r="8" spans="2:3" x14ac:dyDescent="0.2">
      <c r="B8" s="71">
        <v>6.96</v>
      </c>
      <c r="C8" s="74">
        <v>63.5</v>
      </c>
    </row>
    <row r="9" spans="2:3" x14ac:dyDescent="0.2">
      <c r="B9" s="70">
        <v>5.64</v>
      </c>
      <c r="C9" s="73">
        <v>46.17</v>
      </c>
    </row>
    <row r="10" spans="2:3" x14ac:dyDescent="0.2">
      <c r="B10" s="71">
        <v>4.5599999999999996</v>
      </c>
      <c r="C10" s="74">
        <v>46.9</v>
      </c>
    </row>
    <row r="11" spans="2:3" x14ac:dyDescent="0.2">
      <c r="B11" s="70">
        <v>5.2</v>
      </c>
      <c r="C11" s="73">
        <v>39.99</v>
      </c>
    </row>
    <row r="12" spans="2:3" x14ac:dyDescent="0.2">
      <c r="B12" s="71">
        <v>6.28</v>
      </c>
      <c r="C12" s="74">
        <v>58.85</v>
      </c>
    </row>
    <row r="13" spans="2:3" x14ac:dyDescent="0.2">
      <c r="B13" s="70">
        <v>6.06</v>
      </c>
      <c r="C13" s="73">
        <v>55.41</v>
      </c>
    </row>
    <row r="14" spans="2:3" x14ac:dyDescent="0.2">
      <c r="B14" s="71">
        <v>6.57</v>
      </c>
      <c r="C14" s="74">
        <v>64.61</v>
      </c>
    </row>
    <row r="15" spans="2:3" x14ac:dyDescent="0.2">
      <c r="B15" s="70">
        <v>4.24</v>
      </c>
      <c r="C15" s="73">
        <v>45.75</v>
      </c>
    </row>
    <row r="16" spans="2:3" x14ac:dyDescent="0.2">
      <c r="B16" s="71">
        <v>8.7100000000000009</v>
      </c>
      <c r="C16" s="74">
        <v>73.91</v>
      </c>
    </row>
    <row r="17" spans="2:3" x14ac:dyDescent="0.2">
      <c r="B17" s="70">
        <v>6.22</v>
      </c>
      <c r="C17" s="73">
        <v>51.33</v>
      </c>
    </row>
    <row r="18" spans="2:3" x14ac:dyDescent="0.2">
      <c r="B18" s="71">
        <v>5.47</v>
      </c>
      <c r="C18" s="74">
        <v>49.61</v>
      </c>
    </row>
    <row r="19" spans="2:3" x14ac:dyDescent="0.2">
      <c r="B19" s="70">
        <v>9.98</v>
      </c>
      <c r="C19" s="73">
        <v>83.73</v>
      </c>
    </row>
    <row r="20" spans="2:3" x14ac:dyDescent="0.2">
      <c r="B20" s="71">
        <v>5.39</v>
      </c>
      <c r="C20" s="74">
        <v>44.63</v>
      </c>
    </row>
    <row r="21" spans="2:3" x14ac:dyDescent="0.2">
      <c r="B21" s="70">
        <v>9.9499999999999993</v>
      </c>
      <c r="C21" s="73">
        <v>80.989999999999995</v>
      </c>
    </row>
    <row r="22" spans="2:3" x14ac:dyDescent="0.2">
      <c r="B22" s="71">
        <v>9.23</v>
      </c>
      <c r="C22" s="74">
        <v>74.239999999999995</v>
      </c>
    </row>
    <row r="23" spans="2:3" x14ac:dyDescent="0.2">
      <c r="B23" s="70">
        <v>8.39</v>
      </c>
      <c r="C23" s="73">
        <v>72.72</v>
      </c>
    </row>
    <row r="24" spans="2:3" x14ac:dyDescent="0.2">
      <c r="B24" s="71">
        <v>5.41</v>
      </c>
      <c r="C24" s="74">
        <v>44.6</v>
      </c>
    </row>
    <row r="25" spans="2:3" x14ac:dyDescent="0.2">
      <c r="B25" s="70">
        <v>7.45</v>
      </c>
      <c r="C25" s="73">
        <v>57.16</v>
      </c>
    </row>
    <row r="26" spans="2:3" x14ac:dyDescent="0.2">
      <c r="B26" s="71">
        <v>5.03</v>
      </c>
      <c r="C26" s="74">
        <v>41.59</v>
      </c>
    </row>
    <row r="27" spans="2:3" x14ac:dyDescent="0.2">
      <c r="B27" s="70">
        <v>5.15</v>
      </c>
      <c r="C27" s="73">
        <v>52.61</v>
      </c>
    </row>
    <row r="28" spans="2:3" x14ac:dyDescent="0.2">
      <c r="B28" s="71">
        <v>6.43</v>
      </c>
      <c r="C28" s="74">
        <v>54.95</v>
      </c>
    </row>
    <row r="29" spans="2:3" x14ac:dyDescent="0.2">
      <c r="B29" s="70">
        <v>8.93</v>
      </c>
      <c r="C29" s="73">
        <v>72.44</v>
      </c>
    </row>
    <row r="30" spans="2:3" x14ac:dyDescent="0.2">
      <c r="B30" s="71">
        <v>8.44</v>
      </c>
      <c r="C30" s="74">
        <v>68.91</v>
      </c>
    </row>
    <row r="31" spans="2:3" x14ac:dyDescent="0.2">
      <c r="B31" s="70">
        <v>8.92</v>
      </c>
      <c r="C31" s="73">
        <v>77.150000000000006</v>
      </c>
    </row>
    <row r="32" spans="2:3" x14ac:dyDescent="0.2">
      <c r="B32" s="71">
        <v>5.47</v>
      </c>
      <c r="C32" s="74">
        <v>44.4</v>
      </c>
    </row>
    <row r="33" spans="2:3" x14ac:dyDescent="0.2">
      <c r="B33" s="70">
        <v>7.28</v>
      </c>
      <c r="C33" s="73">
        <v>62.93</v>
      </c>
    </row>
    <row r="34" spans="2:3" x14ac:dyDescent="0.2">
      <c r="B34" s="71">
        <v>4.84</v>
      </c>
      <c r="C34" s="74">
        <v>37.46</v>
      </c>
    </row>
    <row r="35" spans="2:3" x14ac:dyDescent="0.2">
      <c r="B35" s="70">
        <v>7.6</v>
      </c>
      <c r="C35" s="73">
        <v>73.75</v>
      </c>
    </row>
    <row r="36" spans="2:3" x14ac:dyDescent="0.2">
      <c r="B36" s="71">
        <v>9.07</v>
      </c>
      <c r="C36" s="74">
        <v>67.150000000000006</v>
      </c>
    </row>
    <row r="37" spans="2:3" x14ac:dyDescent="0.2">
      <c r="B37" s="70">
        <v>9.91</v>
      </c>
      <c r="C37" s="73">
        <v>77.400000000000006</v>
      </c>
    </row>
    <row r="38" spans="2:3" x14ac:dyDescent="0.2">
      <c r="B38" s="71">
        <v>6.38</v>
      </c>
      <c r="C38" s="74">
        <v>63.51</v>
      </c>
    </row>
    <row r="39" spans="2:3" x14ac:dyDescent="0.2">
      <c r="B39" s="70">
        <v>5.63</v>
      </c>
      <c r="C39" s="73">
        <v>51.14</v>
      </c>
    </row>
    <row r="40" spans="2:3" x14ac:dyDescent="0.2">
      <c r="B40" s="71">
        <v>8.7200000000000006</v>
      </c>
      <c r="C40" s="74">
        <v>70.61</v>
      </c>
    </row>
    <row r="41" spans="2:3" x14ac:dyDescent="0.2">
      <c r="B41" s="70">
        <v>4.55</v>
      </c>
      <c r="C41" s="73">
        <v>44.23</v>
      </c>
    </row>
    <row r="42" spans="2:3" x14ac:dyDescent="0.2">
      <c r="B42" s="71">
        <v>6.55</v>
      </c>
      <c r="C42" s="74">
        <v>50.83</v>
      </c>
    </row>
    <row r="43" spans="2:3" x14ac:dyDescent="0.2">
      <c r="B43" s="70">
        <v>4.1500000000000004</v>
      </c>
      <c r="C43" s="73">
        <v>45.83</v>
      </c>
    </row>
    <row r="44" spans="2:3" x14ac:dyDescent="0.2">
      <c r="B44" s="71">
        <v>6.41</v>
      </c>
      <c r="C44" s="74">
        <v>45.66</v>
      </c>
    </row>
    <row r="45" spans="2:3" x14ac:dyDescent="0.2">
      <c r="B45" s="70">
        <v>7.52</v>
      </c>
      <c r="C45" s="73">
        <v>54.57</v>
      </c>
    </row>
    <row r="46" spans="2:3" x14ac:dyDescent="0.2">
      <c r="B46" s="71">
        <v>5.91</v>
      </c>
      <c r="C46" s="74">
        <v>56.36</v>
      </c>
    </row>
    <row r="47" spans="2:3" x14ac:dyDescent="0.2">
      <c r="B47" s="70">
        <v>8.31</v>
      </c>
      <c r="C47" s="73">
        <v>64.02</v>
      </c>
    </row>
    <row r="48" spans="2:3" x14ac:dyDescent="0.2">
      <c r="B48" s="71">
        <v>9.59</v>
      </c>
      <c r="C48" s="74">
        <v>71.150000000000006</v>
      </c>
    </row>
    <row r="49" spans="2:3" x14ac:dyDescent="0.2">
      <c r="B49" s="70">
        <v>4.88</v>
      </c>
      <c r="C49" s="73">
        <v>46.33</v>
      </c>
    </row>
    <row r="50" spans="2:3" x14ac:dyDescent="0.2">
      <c r="B50" s="71">
        <v>7.21</v>
      </c>
      <c r="C50" s="74">
        <v>52.08</v>
      </c>
    </row>
    <row r="51" spans="2:3" x14ac:dyDescent="0.2">
      <c r="B51" s="70">
        <v>9.93</v>
      </c>
      <c r="C51" s="73">
        <v>80.16</v>
      </c>
    </row>
    <row r="52" spans="2:3" x14ac:dyDescent="0.2">
      <c r="B52" s="71">
        <v>9.6</v>
      </c>
      <c r="C52" s="74">
        <v>79.55</v>
      </c>
    </row>
    <row r="53" spans="2:3" x14ac:dyDescent="0.2">
      <c r="B53" s="70">
        <v>9.02</v>
      </c>
      <c r="C53" s="73">
        <v>78.27</v>
      </c>
    </row>
    <row r="54" spans="2:3" x14ac:dyDescent="0.2">
      <c r="B54" s="71">
        <v>5.34</v>
      </c>
      <c r="C54" s="74">
        <v>51.69</v>
      </c>
    </row>
    <row r="55" spans="2:3" x14ac:dyDescent="0.2">
      <c r="B55" s="70">
        <v>9.49</v>
      </c>
      <c r="C55" s="73">
        <v>80.47</v>
      </c>
    </row>
    <row r="56" spans="2:3" x14ac:dyDescent="0.2">
      <c r="B56" s="71">
        <v>7.98</v>
      </c>
      <c r="C56" s="74">
        <v>66.28</v>
      </c>
    </row>
    <row r="57" spans="2:3" x14ac:dyDescent="0.2">
      <c r="B57" s="70">
        <v>7.33</v>
      </c>
      <c r="C57" s="73">
        <v>57</v>
      </c>
    </row>
    <row r="58" spans="2:3" x14ac:dyDescent="0.2">
      <c r="B58" s="71">
        <v>7.59</v>
      </c>
      <c r="C58" s="74">
        <v>58.01</v>
      </c>
    </row>
    <row r="59" spans="2:3" x14ac:dyDescent="0.2">
      <c r="B59" s="70">
        <v>6.82</v>
      </c>
      <c r="C59" s="73">
        <v>52.3</v>
      </c>
    </row>
    <row r="60" spans="2:3" x14ac:dyDescent="0.2">
      <c r="B60" s="71">
        <v>4.17</v>
      </c>
      <c r="C60" s="74">
        <v>38.17</v>
      </c>
    </row>
    <row r="61" spans="2:3" x14ac:dyDescent="0.2">
      <c r="B61" s="70">
        <v>4.4800000000000004</v>
      </c>
      <c r="C61" s="73">
        <v>38.24</v>
      </c>
    </row>
    <row r="62" spans="2:3" x14ac:dyDescent="0.2">
      <c r="B62" s="71">
        <v>9.1999999999999993</v>
      </c>
      <c r="C62" s="74">
        <v>76.39</v>
      </c>
    </row>
    <row r="63" spans="2:3" x14ac:dyDescent="0.2">
      <c r="B63" s="70">
        <v>8.14</v>
      </c>
      <c r="C63" s="73">
        <v>63.07</v>
      </c>
    </row>
    <row r="64" spans="2:3" x14ac:dyDescent="0.2">
      <c r="B64" s="71">
        <v>6.76</v>
      </c>
      <c r="C64" s="74">
        <v>59.39</v>
      </c>
    </row>
    <row r="65" spans="2:3" x14ac:dyDescent="0.2">
      <c r="B65" s="70">
        <v>4.59</v>
      </c>
      <c r="C65" s="73">
        <v>44.25</v>
      </c>
    </row>
    <row r="66" spans="2:3" x14ac:dyDescent="0.2">
      <c r="B66" s="71">
        <v>8.8000000000000007</v>
      </c>
      <c r="C66" s="74">
        <v>68.760000000000005</v>
      </c>
    </row>
    <row r="67" spans="2:3" x14ac:dyDescent="0.2">
      <c r="B67" s="70">
        <v>6.59</v>
      </c>
      <c r="C67" s="73">
        <v>52.87</v>
      </c>
    </row>
    <row r="68" spans="2:3" x14ac:dyDescent="0.2">
      <c r="B68" s="71">
        <v>4.57</v>
      </c>
      <c r="C68" s="74">
        <v>40.86</v>
      </c>
    </row>
    <row r="69" spans="2:3" x14ac:dyDescent="0.2">
      <c r="B69" s="70">
        <v>6.97</v>
      </c>
      <c r="C69" s="73">
        <v>58.86</v>
      </c>
    </row>
    <row r="70" spans="2:3" x14ac:dyDescent="0.2">
      <c r="B70" s="71">
        <v>6.82</v>
      </c>
      <c r="C70" s="74">
        <v>55.6</v>
      </c>
    </row>
    <row r="71" spans="2:3" x14ac:dyDescent="0.2">
      <c r="B71" s="70">
        <v>5.56</v>
      </c>
      <c r="C71" s="73">
        <v>43.2</v>
      </c>
    </row>
    <row r="72" spans="2:3" x14ac:dyDescent="0.2">
      <c r="B72" s="71">
        <v>5.29</v>
      </c>
      <c r="C72" s="74">
        <v>46.77</v>
      </c>
    </row>
    <row r="73" spans="2:3" x14ac:dyDescent="0.2">
      <c r="B73" s="70">
        <v>6.64</v>
      </c>
      <c r="C73" s="73">
        <v>52.51</v>
      </c>
    </row>
    <row r="74" spans="2:3" x14ac:dyDescent="0.2">
      <c r="B74" s="71">
        <v>7.75</v>
      </c>
      <c r="C74" s="74">
        <v>54.28</v>
      </c>
    </row>
    <row r="75" spans="2:3" x14ac:dyDescent="0.2">
      <c r="B75" s="70">
        <v>6.99</v>
      </c>
      <c r="C75" s="73">
        <v>54.32</v>
      </c>
    </row>
    <row r="76" spans="2:3" x14ac:dyDescent="0.2">
      <c r="B76" s="71">
        <v>7.31</v>
      </c>
      <c r="C76" s="74">
        <v>57.02</v>
      </c>
    </row>
    <row r="77" spans="2:3" x14ac:dyDescent="0.2">
      <c r="B77" s="70">
        <v>8.6</v>
      </c>
      <c r="C77" s="73">
        <v>68.48</v>
      </c>
    </row>
    <row r="78" spans="2:3" x14ac:dyDescent="0.2">
      <c r="B78" s="71">
        <v>4.93</v>
      </c>
      <c r="C78" s="74">
        <v>43.97</v>
      </c>
    </row>
    <row r="79" spans="2:3" x14ac:dyDescent="0.2">
      <c r="B79" s="70">
        <v>4.05</v>
      </c>
      <c r="C79" s="73">
        <v>47.74</v>
      </c>
    </row>
    <row r="80" spans="2:3" x14ac:dyDescent="0.2">
      <c r="B80" s="71">
        <v>9.0500000000000007</v>
      </c>
      <c r="C80" s="74">
        <v>77.84</v>
      </c>
    </row>
    <row r="81" spans="2:3" x14ac:dyDescent="0.2">
      <c r="B81" s="70">
        <v>5.77</v>
      </c>
      <c r="C81" s="73">
        <v>46.76</v>
      </c>
    </row>
    <row r="82" spans="2:3" x14ac:dyDescent="0.2">
      <c r="B82" s="71">
        <v>7.37</v>
      </c>
      <c r="C82" s="74">
        <v>69.61</v>
      </c>
    </row>
    <row r="83" spans="2:3" x14ac:dyDescent="0.2">
      <c r="B83" s="70">
        <v>6.34</v>
      </c>
      <c r="C83" s="73">
        <v>52.36</v>
      </c>
    </row>
    <row r="84" spans="2:3" x14ac:dyDescent="0.2">
      <c r="B84" s="71">
        <v>5.14</v>
      </c>
      <c r="C84" s="74">
        <v>46.8</v>
      </c>
    </row>
    <row r="85" spans="2:3" x14ac:dyDescent="0.2">
      <c r="B85" s="70">
        <v>5.43</v>
      </c>
      <c r="C85" s="73">
        <v>39.72</v>
      </c>
    </row>
    <row r="86" spans="2:3" x14ac:dyDescent="0.2">
      <c r="B86" s="71">
        <v>8.98</v>
      </c>
      <c r="C86" s="74">
        <v>72.540000000000006</v>
      </c>
    </row>
    <row r="87" spans="2:3" x14ac:dyDescent="0.2">
      <c r="B87" s="70">
        <v>8.9600000000000009</v>
      </c>
      <c r="C87" s="73">
        <v>79.349999999999994</v>
      </c>
    </row>
    <row r="88" spans="2:3" x14ac:dyDescent="0.2">
      <c r="B88" s="71">
        <v>7.34</v>
      </c>
      <c r="C88" s="74">
        <v>56.7</v>
      </c>
    </row>
    <row r="89" spans="2:3" x14ac:dyDescent="0.2">
      <c r="B89" s="70">
        <v>6.81</v>
      </c>
      <c r="C89" s="73">
        <v>64.599999999999994</v>
      </c>
    </row>
    <row r="90" spans="2:3" x14ac:dyDescent="0.2">
      <c r="B90" s="71">
        <v>7.9</v>
      </c>
      <c r="C90" s="74">
        <v>65.95</v>
      </c>
    </row>
    <row r="91" spans="2:3" x14ac:dyDescent="0.2">
      <c r="B91" s="70">
        <v>6.69</v>
      </c>
      <c r="C91" s="73">
        <v>57.47</v>
      </c>
    </row>
    <row r="92" spans="2:3" x14ac:dyDescent="0.2">
      <c r="B92" s="71">
        <v>7.21</v>
      </c>
      <c r="C92" s="74">
        <v>56.66</v>
      </c>
    </row>
    <row r="93" spans="2:3" x14ac:dyDescent="0.2">
      <c r="B93" s="70">
        <v>9.15</v>
      </c>
      <c r="C93" s="73">
        <v>69.040000000000006</v>
      </c>
    </row>
    <row r="94" spans="2:3" x14ac:dyDescent="0.2">
      <c r="B94" s="71">
        <v>4.17</v>
      </c>
      <c r="C94" s="74">
        <v>39.58</v>
      </c>
    </row>
    <row r="95" spans="2:3" x14ac:dyDescent="0.2">
      <c r="B95" s="70">
        <v>7.37</v>
      </c>
      <c r="C95" s="73">
        <v>57.9</v>
      </c>
    </row>
    <row r="96" spans="2:3" x14ac:dyDescent="0.2">
      <c r="B96" s="71">
        <v>7.52</v>
      </c>
      <c r="C96" s="74">
        <v>63.74</v>
      </c>
    </row>
    <row r="97" spans="2:3" x14ac:dyDescent="0.2">
      <c r="B97" s="70">
        <v>4.66</v>
      </c>
      <c r="C97" s="73">
        <v>38.69</v>
      </c>
    </row>
    <row r="98" spans="2:3" x14ac:dyDescent="0.2">
      <c r="B98" s="71">
        <v>8.64</v>
      </c>
      <c r="C98" s="74">
        <v>65.87</v>
      </c>
    </row>
    <row r="99" spans="2:3" x14ac:dyDescent="0.2">
      <c r="B99" s="70">
        <v>7.31</v>
      </c>
      <c r="C99" s="73">
        <v>62.13</v>
      </c>
    </row>
    <row r="100" spans="2:3" x14ac:dyDescent="0.2">
      <c r="B100" s="71">
        <v>5.38</v>
      </c>
      <c r="C100" s="74">
        <v>50.46</v>
      </c>
    </row>
    <row r="101" spans="2:3" x14ac:dyDescent="0.2">
      <c r="B101" s="70">
        <v>8.1</v>
      </c>
      <c r="C101" s="73">
        <v>77.16</v>
      </c>
    </row>
    <row r="102" spans="2:3" x14ac:dyDescent="0.2">
      <c r="B102" s="71">
        <v>6.06</v>
      </c>
      <c r="C102" s="74">
        <v>52.84</v>
      </c>
    </row>
    <row r="103" spans="2:3" x14ac:dyDescent="0.2">
      <c r="B103" s="70">
        <v>9.8699999999999992</v>
      </c>
      <c r="C103" s="73">
        <v>84.28</v>
      </c>
    </row>
    <row r="104" spans="2:3" x14ac:dyDescent="0.2">
      <c r="B104" s="71">
        <v>4.7</v>
      </c>
      <c r="C104" s="74">
        <v>44.37</v>
      </c>
    </row>
    <row r="105" spans="2:3" x14ac:dyDescent="0.2">
      <c r="B105" s="70">
        <v>5.87</v>
      </c>
      <c r="C105" s="73">
        <v>57.43</v>
      </c>
    </row>
    <row r="106" spans="2:3" x14ac:dyDescent="0.2">
      <c r="B106" s="71">
        <v>4.84</v>
      </c>
      <c r="C106" s="74">
        <v>45.31</v>
      </c>
    </row>
    <row r="107" spans="2:3" x14ac:dyDescent="0.2">
      <c r="B107" s="70">
        <v>8.6300000000000008</v>
      </c>
      <c r="C107" s="73">
        <v>68.959999999999994</v>
      </c>
    </row>
    <row r="108" spans="2:3" x14ac:dyDescent="0.2">
      <c r="B108" s="71">
        <v>9.94</v>
      </c>
      <c r="C108" s="74">
        <v>81.680000000000007</v>
      </c>
    </row>
    <row r="109" spans="2:3" x14ac:dyDescent="0.2">
      <c r="B109" s="70">
        <v>9.99</v>
      </c>
      <c r="C109" s="73">
        <v>75.739999999999995</v>
      </c>
    </row>
    <row r="110" spans="2:3" x14ac:dyDescent="0.2">
      <c r="B110" s="71">
        <v>5.45</v>
      </c>
      <c r="C110" s="74">
        <v>52.45</v>
      </c>
    </row>
    <row r="111" spans="2:3" x14ac:dyDescent="0.2">
      <c r="B111" s="70">
        <v>8.7200000000000006</v>
      </c>
      <c r="C111" s="73">
        <v>68.069999999999993</v>
      </c>
    </row>
    <row r="112" spans="2:3" x14ac:dyDescent="0.2">
      <c r="B112" s="71">
        <v>4.6399999999999997</v>
      </c>
      <c r="C112" s="74">
        <v>51.67</v>
      </c>
    </row>
    <row r="113" spans="2:3" x14ac:dyDescent="0.2">
      <c r="B113" s="70">
        <v>5.66</v>
      </c>
      <c r="C113" s="73">
        <v>48.8</v>
      </c>
    </row>
    <row r="114" spans="2:3" x14ac:dyDescent="0.2">
      <c r="B114" s="71">
        <v>9.0299999999999994</v>
      </c>
      <c r="C114" s="74">
        <v>77.069999999999993</v>
      </c>
    </row>
    <row r="115" spans="2:3" x14ac:dyDescent="0.2">
      <c r="B115" s="70">
        <v>5.93</v>
      </c>
      <c r="C115" s="73">
        <v>53.41</v>
      </c>
    </row>
    <row r="116" spans="2:3" x14ac:dyDescent="0.2">
      <c r="B116" s="71">
        <v>9.0299999999999994</v>
      </c>
      <c r="C116" s="74">
        <v>68.260000000000005</v>
      </c>
    </row>
    <row r="117" spans="2:3" x14ac:dyDescent="0.2">
      <c r="B117" s="70">
        <v>9.58</v>
      </c>
      <c r="C117" s="73">
        <v>77.38</v>
      </c>
    </row>
    <row r="118" spans="2:3" x14ac:dyDescent="0.2">
      <c r="B118" s="71">
        <v>6.96</v>
      </c>
      <c r="C118" s="74">
        <v>65.400000000000006</v>
      </c>
    </row>
    <row r="119" spans="2:3" x14ac:dyDescent="0.2">
      <c r="B119" s="70">
        <v>8.49</v>
      </c>
      <c r="C119" s="73">
        <v>62.51</v>
      </c>
    </row>
    <row r="120" spans="2:3" x14ac:dyDescent="0.2">
      <c r="B120" s="71">
        <v>7.11</v>
      </c>
      <c r="C120" s="74">
        <v>55.07</v>
      </c>
    </row>
    <row r="121" spans="2:3" x14ac:dyDescent="0.2">
      <c r="B121" s="70">
        <v>5.67</v>
      </c>
      <c r="C121" s="73">
        <v>50.27</v>
      </c>
    </row>
    <row r="122" spans="2:3" x14ac:dyDescent="0.2">
      <c r="B122" s="71">
        <v>4.34</v>
      </c>
      <c r="C122" s="74">
        <v>35.799999999999997</v>
      </c>
    </row>
    <row r="123" spans="2:3" x14ac:dyDescent="0.2">
      <c r="B123" s="70">
        <v>6.72</v>
      </c>
      <c r="C123" s="73">
        <v>64.55</v>
      </c>
    </row>
    <row r="124" spans="2:3" x14ac:dyDescent="0.2">
      <c r="B124" s="71">
        <v>9.18</v>
      </c>
      <c r="C124" s="74">
        <v>73.87</v>
      </c>
    </row>
    <row r="125" spans="2:3" x14ac:dyDescent="0.2">
      <c r="B125" s="70">
        <v>4.32</v>
      </c>
      <c r="C125" s="73">
        <v>41.82</v>
      </c>
    </row>
    <row r="126" spans="2:3" x14ac:dyDescent="0.2">
      <c r="B126" s="71">
        <v>4.28</v>
      </c>
      <c r="C126" s="74">
        <v>43.18</v>
      </c>
    </row>
    <row r="127" spans="2:3" x14ac:dyDescent="0.2">
      <c r="B127" s="70">
        <v>5.0999999999999996</v>
      </c>
      <c r="C127" s="73">
        <v>47.22</v>
      </c>
    </row>
    <row r="128" spans="2:3" x14ac:dyDescent="0.2">
      <c r="B128" s="71">
        <v>6.23</v>
      </c>
      <c r="C128" s="74">
        <v>53.91</v>
      </c>
    </row>
    <row r="129" spans="2:3" x14ac:dyDescent="0.2">
      <c r="B129" s="70">
        <v>6.45</v>
      </c>
      <c r="C129" s="73">
        <v>59.74</v>
      </c>
    </row>
    <row r="130" spans="2:3" x14ac:dyDescent="0.2">
      <c r="B130" s="71">
        <v>9.73</v>
      </c>
      <c r="C130" s="74">
        <v>74.14</v>
      </c>
    </row>
    <row r="131" spans="2:3" x14ac:dyDescent="0.2">
      <c r="B131" s="70">
        <v>4.1399999999999997</v>
      </c>
      <c r="C131" s="73">
        <v>36.58</v>
      </c>
    </row>
    <row r="132" spans="2:3" x14ac:dyDescent="0.2">
      <c r="B132" s="71">
        <v>9.2799999999999994</v>
      </c>
      <c r="C132" s="74">
        <v>76.55</v>
      </c>
    </row>
    <row r="133" spans="2:3" x14ac:dyDescent="0.2">
      <c r="B133" s="70">
        <v>6.76</v>
      </c>
      <c r="C133" s="73">
        <v>37.07</v>
      </c>
    </row>
    <row r="134" spans="2:3" x14ac:dyDescent="0.2">
      <c r="B134" s="71">
        <v>6.16</v>
      </c>
      <c r="C134" s="74">
        <v>71.33</v>
      </c>
    </row>
    <row r="135" spans="2:3" x14ac:dyDescent="0.2">
      <c r="B135" s="70">
        <v>8.2200000000000006</v>
      </c>
      <c r="C135" s="73">
        <v>80.31</v>
      </c>
    </row>
    <row r="136" spans="2:3" x14ac:dyDescent="0.2">
      <c r="B136" s="71">
        <v>6.16</v>
      </c>
      <c r="C136" s="74">
        <v>70.489999999999995</v>
      </c>
    </row>
    <row r="137" spans="2:3" x14ac:dyDescent="0.2">
      <c r="B137" s="70">
        <v>7.22</v>
      </c>
      <c r="C137" s="73">
        <v>28.75</v>
      </c>
    </row>
    <row r="138" spans="2:3" x14ac:dyDescent="0.2">
      <c r="B138" s="71">
        <v>8.6</v>
      </c>
      <c r="C138" s="74">
        <v>43.95</v>
      </c>
    </row>
    <row r="139" spans="2:3" x14ac:dyDescent="0.2">
      <c r="B139" s="70">
        <v>7.95</v>
      </c>
      <c r="C139" s="73">
        <v>85.03</v>
      </c>
    </row>
    <row r="140" spans="2:3" x14ac:dyDescent="0.2">
      <c r="B140" s="71">
        <v>4.4400000000000004</v>
      </c>
      <c r="C140" s="74">
        <v>76.47</v>
      </c>
    </row>
    <row r="141" spans="2:3" x14ac:dyDescent="0.2">
      <c r="B141" s="70">
        <v>9.75</v>
      </c>
      <c r="C141" s="73">
        <v>51.12</v>
      </c>
    </row>
    <row r="142" spans="2:3" x14ac:dyDescent="0.2">
      <c r="B142" s="71">
        <v>9.07</v>
      </c>
      <c r="C142" s="74">
        <v>68.02</v>
      </c>
    </row>
    <row r="143" spans="2:3" x14ac:dyDescent="0.2">
      <c r="B143" s="70">
        <v>4.93</v>
      </c>
      <c r="C143" s="73">
        <v>65.16</v>
      </c>
    </row>
    <row r="144" spans="2:3" x14ac:dyDescent="0.2">
      <c r="B144" s="71">
        <v>4.76</v>
      </c>
      <c r="C144" s="74">
        <v>58</v>
      </c>
    </row>
    <row r="145" spans="2:3" x14ac:dyDescent="0.2">
      <c r="B145" s="70">
        <v>5.96</v>
      </c>
      <c r="C145" s="73">
        <v>55.1</v>
      </c>
    </row>
    <row r="146" spans="2:3" x14ac:dyDescent="0.2">
      <c r="B146" s="71">
        <v>4.54</v>
      </c>
      <c r="C146" s="74">
        <v>21.1</v>
      </c>
    </row>
    <row r="147" spans="2:3" x14ac:dyDescent="0.2">
      <c r="B147" s="70">
        <v>6.12</v>
      </c>
      <c r="C147" s="73">
        <v>49.54</v>
      </c>
    </row>
    <row r="148" spans="2:3" x14ac:dyDescent="0.2">
      <c r="B148" s="71">
        <v>5.35</v>
      </c>
      <c r="C148" s="74">
        <v>40.880000000000003</v>
      </c>
    </row>
    <row r="149" spans="2:3" x14ac:dyDescent="0.2">
      <c r="B149" s="70">
        <v>8.39</v>
      </c>
      <c r="C149" s="73">
        <v>27.64</v>
      </c>
    </row>
    <row r="150" spans="2:3" x14ac:dyDescent="0.2">
      <c r="B150" s="71">
        <v>9.35</v>
      </c>
      <c r="C150" s="74">
        <v>96.31</v>
      </c>
    </row>
    <row r="151" spans="2:3" x14ac:dyDescent="0.2">
      <c r="B151" s="70">
        <v>5.0599999999999996</v>
      </c>
      <c r="C151" s="73">
        <v>96.03</v>
      </c>
    </row>
    <row r="152" spans="2:3" x14ac:dyDescent="0.2">
      <c r="B152" s="71">
        <v>7.18</v>
      </c>
      <c r="C152" s="74">
        <v>77.290000000000006</v>
      </c>
    </row>
    <row r="153" spans="2:3" x14ac:dyDescent="0.2">
      <c r="B153" s="70">
        <v>7.22</v>
      </c>
      <c r="C153" s="73">
        <v>61.92</v>
      </c>
    </row>
    <row r="154" spans="2:3" x14ac:dyDescent="0.2">
      <c r="B154" s="71">
        <v>9.27</v>
      </c>
      <c r="C154" s="74">
        <v>63.57</v>
      </c>
    </row>
    <row r="155" spans="2:3" x14ac:dyDescent="0.2">
      <c r="B155" s="70">
        <v>9.9600000000000009</v>
      </c>
      <c r="C155" s="73">
        <v>78.3</v>
      </c>
    </row>
    <row r="156" spans="2:3" x14ac:dyDescent="0.2">
      <c r="B156" s="71">
        <v>4.68</v>
      </c>
      <c r="C156" s="74">
        <v>50.07</v>
      </c>
    </row>
    <row r="157" spans="2:3" x14ac:dyDescent="0.2">
      <c r="B157" s="70">
        <v>5.15</v>
      </c>
      <c r="C157" s="73">
        <v>51.35</v>
      </c>
    </row>
    <row r="158" spans="2:3" x14ac:dyDescent="0.2">
      <c r="B158" s="71">
        <v>9.65</v>
      </c>
      <c r="C158" s="74">
        <v>53.41</v>
      </c>
    </row>
    <row r="159" spans="2:3" x14ac:dyDescent="0.2">
      <c r="B159" s="70">
        <v>8.61</v>
      </c>
      <c r="C159" s="73">
        <v>52.91</v>
      </c>
    </row>
    <row r="160" spans="2:3" x14ac:dyDescent="0.2">
      <c r="B160" s="71">
        <v>6.21</v>
      </c>
      <c r="C160" s="74">
        <v>65.28</v>
      </c>
    </row>
    <row r="161" spans="2:3" x14ac:dyDescent="0.2">
      <c r="B161" s="70">
        <v>8.3800000000000008</v>
      </c>
      <c r="C161" s="73">
        <v>100.78</v>
      </c>
    </row>
    <row r="162" spans="2:3" x14ac:dyDescent="0.2">
      <c r="B162" s="71">
        <v>6.86</v>
      </c>
      <c r="C162" s="74">
        <v>74.760000000000005</v>
      </c>
    </row>
    <row r="163" spans="2:3" x14ac:dyDescent="0.2">
      <c r="B163" s="70">
        <v>7.7</v>
      </c>
      <c r="C163" s="73">
        <v>53.96</v>
      </c>
    </row>
    <row r="164" spans="2:3" x14ac:dyDescent="0.2">
      <c r="B164" s="71">
        <v>8.02</v>
      </c>
      <c r="C164" s="74">
        <v>62.53</v>
      </c>
    </row>
    <row r="165" spans="2:3" x14ac:dyDescent="0.2">
      <c r="B165" s="70">
        <v>9.2100000000000009</v>
      </c>
      <c r="C165" s="73">
        <v>83.15</v>
      </c>
    </row>
    <row r="166" spans="2:3" x14ac:dyDescent="0.2">
      <c r="B166" s="71">
        <v>8.24</v>
      </c>
      <c r="C166" s="74">
        <v>76.959999999999994</v>
      </c>
    </row>
    <row r="167" spans="2:3" x14ac:dyDescent="0.2">
      <c r="B167" s="70">
        <v>6.63</v>
      </c>
      <c r="C167" s="73">
        <v>54.57</v>
      </c>
    </row>
    <row r="168" spans="2:3" x14ac:dyDescent="0.2">
      <c r="B168" s="71">
        <v>8.2899999999999991</v>
      </c>
      <c r="C168" s="74">
        <v>115.29</v>
      </c>
    </row>
    <row r="169" spans="2:3" x14ac:dyDescent="0.2">
      <c r="B169" s="70">
        <v>8.65</v>
      </c>
      <c r="C169" s="73">
        <v>88.43</v>
      </c>
    </row>
    <row r="170" spans="2:3" x14ac:dyDescent="0.2">
      <c r="B170" s="71">
        <v>9.2100000000000009</v>
      </c>
      <c r="C170" s="74">
        <v>62.31</v>
      </c>
    </row>
    <row r="171" spans="2:3" x14ac:dyDescent="0.2">
      <c r="B171" s="70">
        <v>9.0500000000000007</v>
      </c>
      <c r="C171" s="73">
        <v>29.32</v>
      </c>
    </row>
    <row r="172" spans="2:3" x14ac:dyDescent="0.2">
      <c r="B172" s="71">
        <v>7.71</v>
      </c>
      <c r="C172" s="74">
        <v>67.36</v>
      </c>
    </row>
    <row r="173" spans="2:3" x14ac:dyDescent="0.2">
      <c r="B173" s="70">
        <v>8.75</v>
      </c>
      <c r="C173" s="73">
        <v>88.53</v>
      </c>
    </row>
    <row r="174" spans="2:3" x14ac:dyDescent="0.2">
      <c r="B174" s="71">
        <v>7.97</v>
      </c>
      <c r="C174" s="74">
        <v>52.97</v>
      </c>
    </row>
    <row r="175" spans="2:3" x14ac:dyDescent="0.2">
      <c r="B175" s="70">
        <v>7.59</v>
      </c>
      <c r="C175" s="73">
        <v>83.57</v>
      </c>
    </row>
    <row r="176" spans="2:3" x14ac:dyDescent="0.2">
      <c r="B176" s="71">
        <v>8.18</v>
      </c>
      <c r="C176" s="74">
        <v>92.48</v>
      </c>
    </row>
    <row r="177" spans="2:3" x14ac:dyDescent="0.2">
      <c r="B177" s="70">
        <v>9.25</v>
      </c>
      <c r="C177" s="73">
        <v>66.709999999999994</v>
      </c>
    </row>
    <row r="178" spans="2:3" x14ac:dyDescent="0.2">
      <c r="B178" s="71">
        <v>4.54</v>
      </c>
      <c r="C178" s="74">
        <v>42.01</v>
      </c>
    </row>
    <row r="179" spans="2:3" x14ac:dyDescent="0.2">
      <c r="B179" s="70">
        <v>4.68</v>
      </c>
      <c r="C179" s="73">
        <v>49.81</v>
      </c>
    </row>
    <row r="180" spans="2:3" x14ac:dyDescent="0.2">
      <c r="B180" s="71">
        <v>8.39</v>
      </c>
      <c r="C180" s="74">
        <v>56.55</v>
      </c>
    </row>
    <row r="181" spans="2:3" x14ac:dyDescent="0.2">
      <c r="B181" s="70">
        <v>4.03</v>
      </c>
      <c r="C181" s="73">
        <v>44.21</v>
      </c>
    </row>
    <row r="182" spans="2:3" x14ac:dyDescent="0.2">
      <c r="B182" s="71">
        <v>9.9600000000000009</v>
      </c>
      <c r="C182" s="74">
        <v>50.61</v>
      </c>
    </row>
    <row r="183" spans="2:3" x14ac:dyDescent="0.2">
      <c r="B183" s="70">
        <v>4.1500000000000004</v>
      </c>
      <c r="C183" s="73">
        <v>60.58</v>
      </c>
    </row>
    <row r="184" spans="2:3" x14ac:dyDescent="0.2">
      <c r="B184" s="71">
        <v>7.58</v>
      </c>
      <c r="C184" s="74">
        <v>44.09</v>
      </c>
    </row>
    <row r="185" spans="2:3" x14ac:dyDescent="0.2">
      <c r="B185" s="70">
        <v>7.54</v>
      </c>
      <c r="C185" s="73">
        <v>75.03</v>
      </c>
    </row>
    <row r="186" spans="2:3" x14ac:dyDescent="0.2">
      <c r="B186" s="71">
        <v>5.25</v>
      </c>
      <c r="C186" s="74">
        <v>44.82</v>
      </c>
    </row>
    <row r="187" spans="2:3" x14ac:dyDescent="0.2">
      <c r="B187" s="70">
        <v>7.21</v>
      </c>
      <c r="C187" s="73">
        <v>86.23</v>
      </c>
    </row>
    <row r="188" spans="2:3" x14ac:dyDescent="0.2">
      <c r="B188" s="71">
        <v>9.42</v>
      </c>
      <c r="C188" s="74">
        <v>75.459999999999994</v>
      </c>
    </row>
    <row r="189" spans="2:3" x14ac:dyDescent="0.2">
      <c r="B189" s="70">
        <v>6.68</v>
      </c>
      <c r="C189" s="73">
        <v>33.049999999999997</v>
      </c>
    </row>
    <row r="190" spans="2:3" x14ac:dyDescent="0.2">
      <c r="B190" s="71">
        <v>5.78</v>
      </c>
      <c r="C190" s="74">
        <v>87.4</v>
      </c>
    </row>
    <row r="191" spans="2:3" x14ac:dyDescent="0.2">
      <c r="B191" s="70">
        <v>5.23</v>
      </c>
      <c r="C191" s="73">
        <v>40.19</v>
      </c>
    </row>
    <row r="192" spans="2:3" x14ac:dyDescent="0.2">
      <c r="B192" s="71">
        <v>4.38</v>
      </c>
      <c r="C192" s="74">
        <v>43.95</v>
      </c>
    </row>
    <row r="193" spans="2:3" x14ac:dyDescent="0.2">
      <c r="B193" s="70">
        <v>9.01</v>
      </c>
      <c r="C193" s="73">
        <v>61.06</v>
      </c>
    </row>
    <row r="194" spans="2:3" x14ac:dyDescent="0.2">
      <c r="B194" s="71">
        <v>5.12</v>
      </c>
      <c r="C194" s="74">
        <v>63.38</v>
      </c>
    </row>
    <row r="195" spans="2:3" x14ac:dyDescent="0.2">
      <c r="B195" s="70">
        <v>4.18</v>
      </c>
      <c r="C195" s="73">
        <v>8</v>
      </c>
    </row>
    <row r="196" spans="2:3" x14ac:dyDescent="0.2">
      <c r="B196" s="71">
        <v>6.36</v>
      </c>
      <c r="C196" s="74">
        <v>67.44</v>
      </c>
    </row>
    <row r="197" spans="2:3" x14ac:dyDescent="0.2">
      <c r="B197" s="70">
        <v>4.08</v>
      </c>
      <c r="C197" s="73">
        <v>82.05</v>
      </c>
    </row>
    <row r="198" spans="2:3" x14ac:dyDescent="0.2">
      <c r="B198" s="71">
        <v>8.5399999999999991</v>
      </c>
      <c r="C198" s="74">
        <v>42.33</v>
      </c>
    </row>
    <row r="199" spans="2:3" x14ac:dyDescent="0.2">
      <c r="B199" s="70">
        <v>5.38</v>
      </c>
      <c r="C199" s="73">
        <v>46.56</v>
      </c>
    </row>
    <row r="200" spans="2:3" x14ac:dyDescent="0.2">
      <c r="B200" s="71">
        <v>5.5</v>
      </c>
      <c r="C200" s="74">
        <v>42.01</v>
      </c>
    </row>
    <row r="201" spans="2:3" x14ac:dyDescent="0.2">
      <c r="B201" s="70">
        <v>5.03</v>
      </c>
      <c r="C201" s="73">
        <v>31.21</v>
      </c>
    </row>
    <row r="202" spans="2:3" x14ac:dyDescent="0.2">
      <c r="B202" s="71">
        <v>4.6900000000000004</v>
      </c>
      <c r="C202" s="74">
        <v>46.24</v>
      </c>
    </row>
    <row r="203" spans="2:3" x14ac:dyDescent="0.2">
      <c r="B203" s="70">
        <v>4.34</v>
      </c>
      <c r="C203" s="73">
        <v>50.33</v>
      </c>
    </row>
    <row r="204" spans="2:3" x14ac:dyDescent="0.2">
      <c r="B204" s="71">
        <v>8.93</v>
      </c>
      <c r="C204" s="74">
        <v>118.54</v>
      </c>
    </row>
    <row r="205" spans="2:3" x14ac:dyDescent="0.2">
      <c r="B205" s="70">
        <v>7.91</v>
      </c>
      <c r="C205" s="73">
        <v>66.209999999999994</v>
      </c>
    </row>
    <row r="206" spans="2:3" x14ac:dyDescent="0.2">
      <c r="B206" s="71">
        <v>4.67</v>
      </c>
      <c r="C206" s="74">
        <v>57.53</v>
      </c>
    </row>
    <row r="207" spans="2:3" x14ac:dyDescent="0.2">
      <c r="B207" s="70">
        <v>9.91</v>
      </c>
      <c r="C207" s="73">
        <v>62.71</v>
      </c>
    </row>
    <row r="208" spans="2:3" x14ac:dyDescent="0.2">
      <c r="B208" s="71">
        <v>6.33</v>
      </c>
      <c r="C208" s="74">
        <v>50.62</v>
      </c>
    </row>
    <row r="209" spans="2:3" x14ac:dyDescent="0.2">
      <c r="B209" s="70">
        <v>9.67</v>
      </c>
      <c r="C209" s="73">
        <v>93.01</v>
      </c>
    </row>
    <row r="210" spans="2:3" x14ac:dyDescent="0.2">
      <c r="B210" s="71">
        <v>5.36</v>
      </c>
      <c r="C210" s="74">
        <v>66.86</v>
      </c>
    </row>
    <row r="211" spans="2:3" x14ac:dyDescent="0.2">
      <c r="B211" s="70">
        <v>4.13</v>
      </c>
      <c r="C211" s="73">
        <v>26.63</v>
      </c>
    </row>
    <row r="212" spans="2:3" x14ac:dyDescent="0.2">
      <c r="B212" s="71">
        <v>7.36</v>
      </c>
      <c r="C212" s="74">
        <v>80.430000000000007</v>
      </c>
    </row>
    <row r="213" spans="2:3" x14ac:dyDescent="0.2">
      <c r="B213" s="70">
        <v>9.84</v>
      </c>
      <c r="C213" s="73">
        <v>108.17</v>
      </c>
    </row>
    <row r="214" spans="2:3" x14ac:dyDescent="0.2">
      <c r="B214" s="71">
        <v>6.44</v>
      </c>
      <c r="C214" s="74">
        <v>95.27</v>
      </c>
    </row>
    <row r="215" spans="2:3" x14ac:dyDescent="0.2">
      <c r="B215" s="70">
        <v>4.1399999999999997</v>
      </c>
      <c r="C215" s="73">
        <v>35.78</v>
      </c>
    </row>
    <row r="216" spans="2:3" x14ac:dyDescent="0.2">
      <c r="B216" s="71">
        <v>6.63</v>
      </c>
      <c r="C216" s="74">
        <v>79.290000000000006</v>
      </c>
    </row>
    <row r="217" spans="2:3" x14ac:dyDescent="0.2">
      <c r="B217" s="70">
        <v>7.68</v>
      </c>
      <c r="C217" s="73">
        <v>70.06</v>
      </c>
    </row>
    <row r="218" spans="2:3" x14ac:dyDescent="0.2">
      <c r="B218" s="71">
        <v>8.4700000000000006</v>
      </c>
      <c r="C218" s="74">
        <v>69.06</v>
      </c>
    </row>
    <row r="219" spans="2:3" x14ac:dyDescent="0.2">
      <c r="B219" s="70">
        <v>4.5199999999999996</v>
      </c>
      <c r="C219" s="73">
        <v>45.92</v>
      </c>
    </row>
    <row r="220" spans="2:3" x14ac:dyDescent="0.2">
      <c r="B220" s="71">
        <v>8.39</v>
      </c>
      <c r="C220" s="74">
        <v>89.98</v>
      </c>
    </row>
    <row r="221" spans="2:3" x14ac:dyDescent="0.2">
      <c r="B221" s="70">
        <v>8.86</v>
      </c>
      <c r="C221" s="73">
        <v>55.5</v>
      </c>
    </row>
    <row r="222" spans="2:3" x14ac:dyDescent="0.2">
      <c r="B222" s="71">
        <v>9.4600000000000009</v>
      </c>
      <c r="C222" s="74">
        <v>90.99</v>
      </c>
    </row>
    <row r="223" spans="2:3" x14ac:dyDescent="0.2">
      <c r="B223" s="70">
        <v>6.5</v>
      </c>
      <c r="C223" s="73">
        <v>76.010000000000005</v>
      </c>
    </row>
    <row r="224" spans="2:3" x14ac:dyDescent="0.2">
      <c r="B224" s="71">
        <v>6.63</v>
      </c>
      <c r="C224" s="74">
        <v>34.28</v>
      </c>
    </row>
    <row r="225" spans="2:3" x14ac:dyDescent="0.2">
      <c r="B225" s="70">
        <v>8.56</v>
      </c>
      <c r="C225" s="73">
        <v>103.65</v>
      </c>
    </row>
    <row r="226" spans="2:3" x14ac:dyDescent="0.2">
      <c r="B226" s="71">
        <v>9.19</v>
      </c>
      <c r="C226" s="74">
        <v>72.56</v>
      </c>
    </row>
    <row r="227" spans="2:3" x14ac:dyDescent="0.2">
      <c r="B227" s="70">
        <v>4.1500000000000004</v>
      </c>
      <c r="C227" s="73">
        <v>49.27</v>
      </c>
    </row>
    <row r="228" spans="2:3" x14ac:dyDescent="0.2">
      <c r="B228" s="71">
        <v>6.09</v>
      </c>
      <c r="C228" s="74">
        <v>65.209999999999994</v>
      </c>
    </row>
    <row r="229" spans="2:3" x14ac:dyDescent="0.2">
      <c r="B229" s="70">
        <v>7.41</v>
      </c>
      <c r="C229" s="73">
        <v>86.46</v>
      </c>
    </row>
    <row r="230" spans="2:3" x14ac:dyDescent="0.2">
      <c r="B230" s="71">
        <v>5.47</v>
      </c>
      <c r="C230" s="74">
        <v>45.76</v>
      </c>
    </row>
    <row r="231" spans="2:3" x14ac:dyDescent="0.2">
      <c r="B231" s="70">
        <v>4.6500000000000004</v>
      </c>
      <c r="C231" s="73">
        <v>30.74</v>
      </c>
    </row>
    <row r="232" spans="2:3" x14ac:dyDescent="0.2">
      <c r="B232" s="71">
        <v>7.69</v>
      </c>
      <c r="C232" s="74">
        <v>81.08</v>
      </c>
    </row>
    <row r="233" spans="2:3" x14ac:dyDescent="0.2">
      <c r="B233" s="70">
        <v>4.75</v>
      </c>
      <c r="C233" s="73">
        <v>51</v>
      </c>
    </row>
    <row r="234" spans="2:3" x14ac:dyDescent="0.2">
      <c r="B234" s="71">
        <v>8.68</v>
      </c>
      <c r="C234" s="74">
        <v>67.36</v>
      </c>
    </row>
    <row r="235" spans="2:3" x14ac:dyDescent="0.2">
      <c r="B235" s="70">
        <v>7.6</v>
      </c>
      <c r="C235" s="73">
        <v>50.29</v>
      </c>
    </row>
    <row r="236" spans="2:3" x14ac:dyDescent="0.2">
      <c r="B236" s="71">
        <v>9.2200000000000006</v>
      </c>
      <c r="C236" s="74">
        <v>83.76</v>
      </c>
    </row>
    <row r="237" spans="2:3" x14ac:dyDescent="0.2">
      <c r="B237" s="70">
        <v>5.46</v>
      </c>
      <c r="C237" s="73">
        <v>21.46</v>
      </c>
    </row>
    <row r="238" spans="2:3" x14ac:dyDescent="0.2">
      <c r="B238" s="71">
        <v>4.3</v>
      </c>
      <c r="C238" s="74">
        <v>52.51</v>
      </c>
    </row>
    <row r="239" spans="2:3" x14ac:dyDescent="0.2">
      <c r="B239" s="70">
        <v>4.4400000000000004</v>
      </c>
      <c r="C239" s="73">
        <v>24.63</v>
      </c>
    </row>
    <row r="240" spans="2:3" x14ac:dyDescent="0.2">
      <c r="B240" s="71">
        <v>4.68</v>
      </c>
      <c r="C240" s="74">
        <v>9.23</v>
      </c>
    </row>
    <row r="241" spans="2:3" x14ac:dyDescent="0.2">
      <c r="B241" s="70">
        <v>8.5500000000000007</v>
      </c>
      <c r="C241" s="73">
        <v>39.17</v>
      </c>
    </row>
    <row r="242" spans="2:3" x14ac:dyDescent="0.2">
      <c r="B242" s="71">
        <v>4.3</v>
      </c>
      <c r="C242" s="74">
        <v>50.74</v>
      </c>
    </row>
    <row r="243" spans="2:3" x14ac:dyDescent="0.2">
      <c r="B243" s="70">
        <v>7.06</v>
      </c>
      <c r="C243" s="73">
        <v>86.68</v>
      </c>
    </row>
    <row r="244" spans="2:3" x14ac:dyDescent="0.2">
      <c r="B244" s="71">
        <v>8.65</v>
      </c>
      <c r="C244" s="74">
        <v>79.790000000000006</v>
      </c>
    </row>
    <row r="245" spans="2:3" x14ac:dyDescent="0.2">
      <c r="B245" s="70">
        <v>7.38</v>
      </c>
      <c r="C245" s="73">
        <v>26.08</v>
      </c>
    </row>
    <row r="246" spans="2:3" x14ac:dyDescent="0.2">
      <c r="B246" s="71">
        <v>8.1199999999999992</v>
      </c>
      <c r="C246" s="74">
        <v>72.25</v>
      </c>
    </row>
    <row r="247" spans="2:3" x14ac:dyDescent="0.2">
      <c r="B247" s="70">
        <v>5.7</v>
      </c>
      <c r="C247" s="73">
        <v>49.24</v>
      </c>
    </row>
    <row r="248" spans="2:3" x14ac:dyDescent="0.2">
      <c r="B248" s="71">
        <v>9.99</v>
      </c>
      <c r="C248" s="74">
        <v>78.39</v>
      </c>
    </row>
    <row r="249" spans="2:3" x14ac:dyDescent="0.2">
      <c r="B249" s="70">
        <v>5.34</v>
      </c>
      <c r="C249" s="73">
        <v>70.22</v>
      </c>
    </row>
    <row r="250" spans="2:3" x14ac:dyDescent="0.2">
      <c r="B250" s="71">
        <v>8.2200000000000006</v>
      </c>
      <c r="C250" s="74">
        <v>60.49</v>
      </c>
    </row>
    <row r="251" spans="2:3" x14ac:dyDescent="0.2">
      <c r="B251" s="70">
        <v>4.78</v>
      </c>
      <c r="C251" s="73">
        <v>62.92</v>
      </c>
    </row>
    <row r="252" spans="2:3" x14ac:dyDescent="0.2">
      <c r="B252" s="71">
        <v>7.05</v>
      </c>
      <c r="C252" s="74">
        <v>48.83</v>
      </c>
    </row>
    <row r="253" spans="2:3" x14ac:dyDescent="0.2">
      <c r="B253" s="70">
        <v>4.83</v>
      </c>
      <c r="C253" s="73">
        <v>39.82</v>
      </c>
    </row>
    <row r="254" spans="2:3" x14ac:dyDescent="0.2">
      <c r="B254" s="71">
        <v>7.66</v>
      </c>
      <c r="C254" s="74">
        <v>69.86</v>
      </c>
    </row>
    <row r="255" spans="2:3" x14ac:dyDescent="0.2">
      <c r="B255" s="70">
        <v>7.88</v>
      </c>
      <c r="C255" s="73">
        <v>67.95</v>
      </c>
    </row>
    <row r="256" spans="2:3" x14ac:dyDescent="0.2">
      <c r="B256" s="71">
        <v>5.58</v>
      </c>
      <c r="C256" s="74">
        <v>50.66</v>
      </c>
    </row>
    <row r="257" spans="2:3" x14ac:dyDescent="0.2">
      <c r="B257" s="70">
        <v>4.32</v>
      </c>
      <c r="C257" s="73">
        <v>31.48</v>
      </c>
    </row>
    <row r="258" spans="2:3" x14ac:dyDescent="0.2">
      <c r="B258" s="71">
        <v>5.2</v>
      </c>
      <c r="C258" s="74">
        <v>37.39</v>
      </c>
    </row>
    <row r="259" spans="2:3" x14ac:dyDescent="0.2">
      <c r="B259" s="70">
        <v>4.04</v>
      </c>
      <c r="C259" s="73">
        <v>51.67</v>
      </c>
    </row>
    <row r="260" spans="2:3" x14ac:dyDescent="0.2">
      <c r="B260" s="71">
        <v>4.7699999999999996</v>
      </c>
      <c r="C260" s="74">
        <v>43.81</v>
      </c>
    </row>
    <row r="261" spans="2:3" x14ac:dyDescent="0.2">
      <c r="B261" s="70">
        <v>8.34</v>
      </c>
      <c r="C261" s="73">
        <v>70.430000000000007</v>
      </c>
    </row>
    <row r="262" spans="2:3" x14ac:dyDescent="0.2">
      <c r="B262" s="71">
        <v>9.3800000000000008</v>
      </c>
      <c r="C262" s="74">
        <v>79.900000000000006</v>
      </c>
    </row>
    <row r="263" spans="2:3" x14ac:dyDescent="0.2">
      <c r="B263" s="70">
        <v>9.66</v>
      </c>
      <c r="C263" s="73">
        <v>63.34</v>
      </c>
    </row>
    <row r="264" spans="2:3" x14ac:dyDescent="0.2">
      <c r="B264" s="71">
        <v>4</v>
      </c>
      <c r="C264" s="74">
        <v>30.62</v>
      </c>
    </row>
    <row r="265" spans="2:3" x14ac:dyDescent="0.2">
      <c r="B265" s="70">
        <v>7.31</v>
      </c>
      <c r="C265" s="73">
        <v>51.36</v>
      </c>
    </row>
    <row r="266" spans="2:3" x14ac:dyDescent="0.2">
      <c r="B266" s="71">
        <v>7.45</v>
      </c>
      <c r="C266" s="74">
        <v>62.85</v>
      </c>
    </row>
    <row r="267" spans="2:3" x14ac:dyDescent="0.2">
      <c r="B267" s="70">
        <v>9.66</v>
      </c>
      <c r="C267" s="73">
        <v>55.39</v>
      </c>
    </row>
    <row r="268" spans="2:3" x14ac:dyDescent="0.2">
      <c r="B268" s="71">
        <v>9.24</v>
      </c>
      <c r="C268" s="74">
        <v>91.7</v>
      </c>
    </row>
    <row r="269" spans="2:3" x14ac:dyDescent="0.2">
      <c r="B269" s="70">
        <v>4.5</v>
      </c>
      <c r="C269" s="73">
        <v>64.67</v>
      </c>
    </row>
    <row r="270" spans="2:3" x14ac:dyDescent="0.2">
      <c r="B270" s="71">
        <v>7.3</v>
      </c>
      <c r="C270" s="74">
        <v>66.13</v>
      </c>
    </row>
    <row r="271" spans="2:3" x14ac:dyDescent="0.2">
      <c r="B271" s="70">
        <v>5.44</v>
      </c>
      <c r="C271" s="73">
        <v>47.04</v>
      </c>
    </row>
    <row r="272" spans="2:3" x14ac:dyDescent="0.2">
      <c r="B272" s="71">
        <v>8.1199999999999992</v>
      </c>
      <c r="C272" s="74">
        <v>35.380000000000003</v>
      </c>
    </row>
    <row r="273" spans="2:3" x14ac:dyDescent="0.2">
      <c r="B273" s="70">
        <v>9.7799999999999994</v>
      </c>
      <c r="C273" s="73">
        <v>109.79</v>
      </c>
    </row>
    <row r="274" spans="2:3" x14ac:dyDescent="0.2">
      <c r="B274" s="71">
        <v>6.15</v>
      </c>
      <c r="C274" s="74">
        <v>48.99</v>
      </c>
    </row>
    <row r="275" spans="2:3" x14ac:dyDescent="0.2">
      <c r="B275" s="70">
        <v>7.33</v>
      </c>
      <c r="C275" s="73">
        <v>84.13</v>
      </c>
    </row>
    <row r="276" spans="2:3" x14ac:dyDescent="0.2">
      <c r="B276" s="71">
        <v>5.59</v>
      </c>
      <c r="C276" s="74">
        <v>58.41</v>
      </c>
    </row>
    <row r="277" spans="2:3" x14ac:dyDescent="0.2">
      <c r="B277" s="70">
        <v>5.0999999999999996</v>
      </c>
      <c r="C277" s="73">
        <v>38.1</v>
      </c>
    </row>
    <row r="278" spans="2:3" x14ac:dyDescent="0.2">
      <c r="B278" s="71">
        <v>7.73</v>
      </c>
      <c r="C278" s="74">
        <v>66.22</v>
      </c>
    </row>
    <row r="279" spans="2:3" x14ac:dyDescent="0.2">
      <c r="B279" s="70">
        <v>9.74</v>
      </c>
      <c r="C279" s="73">
        <v>89.32</v>
      </c>
    </row>
    <row r="280" spans="2:3" x14ac:dyDescent="0.2">
      <c r="B280" s="71">
        <v>7.33</v>
      </c>
      <c r="C280" s="74">
        <v>71.599999999999994</v>
      </c>
    </row>
    <row r="281" spans="2:3" x14ac:dyDescent="0.2">
      <c r="B281" s="70">
        <v>9.8800000000000008</v>
      </c>
      <c r="C281" s="73">
        <v>51.89</v>
      </c>
    </row>
    <row r="282" spans="2:3" x14ac:dyDescent="0.2">
      <c r="B282" s="71">
        <v>8.17</v>
      </c>
      <c r="C282" s="74">
        <v>65.260000000000005</v>
      </c>
    </row>
    <row r="283" spans="2:3" x14ac:dyDescent="0.2">
      <c r="B283" s="70">
        <v>6.71</v>
      </c>
      <c r="C283" s="73">
        <v>70.739999999999995</v>
      </c>
    </row>
    <row r="284" spans="2:3" x14ac:dyDescent="0.2">
      <c r="B284" s="71">
        <v>6.85</v>
      </c>
      <c r="C284" s="74">
        <v>62.56</v>
      </c>
    </row>
    <row r="285" spans="2:3" x14ac:dyDescent="0.2">
      <c r="B285" s="70">
        <v>5.61</v>
      </c>
      <c r="C285" s="73">
        <v>83.08</v>
      </c>
    </row>
    <row r="286" spans="2:3" x14ac:dyDescent="0.2">
      <c r="B286" s="71">
        <v>8.6199999999999992</v>
      </c>
      <c r="C286" s="74">
        <v>71.040000000000006</v>
      </c>
    </row>
    <row r="287" spans="2:3" x14ac:dyDescent="0.2">
      <c r="B287" s="70">
        <v>6.73</v>
      </c>
      <c r="C287" s="73">
        <v>44.64</v>
      </c>
    </row>
    <row r="288" spans="2:3" x14ac:dyDescent="0.2">
      <c r="B288" s="71">
        <v>8.27</v>
      </c>
      <c r="C288" s="74">
        <v>46.56</v>
      </c>
    </row>
    <row r="289" spans="2:3" x14ac:dyDescent="0.2">
      <c r="B289" s="70">
        <v>7</v>
      </c>
      <c r="C289" s="73">
        <v>38.090000000000003</v>
      </c>
    </row>
    <row r="290" spans="2:3" x14ac:dyDescent="0.2">
      <c r="B290" s="71">
        <v>6.69</v>
      </c>
      <c r="C290" s="74">
        <v>66.430000000000007</v>
      </c>
    </row>
    <row r="291" spans="2:3" x14ac:dyDescent="0.2">
      <c r="B291" s="70">
        <v>7.76</v>
      </c>
      <c r="C291" s="73">
        <v>36.99</v>
      </c>
    </row>
    <row r="292" spans="2:3" x14ac:dyDescent="0.2">
      <c r="B292" s="71">
        <v>8.0500000000000007</v>
      </c>
      <c r="C292" s="74">
        <v>99.96</v>
      </c>
    </row>
    <row r="293" spans="2:3" x14ac:dyDescent="0.2">
      <c r="B293" s="70">
        <v>6.81</v>
      </c>
      <c r="C293" s="73">
        <v>70.040000000000006</v>
      </c>
    </row>
    <row r="294" spans="2:3" x14ac:dyDescent="0.2">
      <c r="B294" s="71">
        <v>9.31</v>
      </c>
      <c r="C294" s="74">
        <v>77.760000000000005</v>
      </c>
    </row>
    <row r="295" spans="2:3" x14ac:dyDescent="0.2">
      <c r="B295" s="70">
        <v>4.1100000000000003</v>
      </c>
      <c r="C295" s="73">
        <v>36.31</v>
      </c>
    </row>
    <row r="296" spans="2:3" x14ac:dyDescent="0.2">
      <c r="B296" s="71">
        <v>7.57</v>
      </c>
      <c r="C296" s="74">
        <v>73.78</v>
      </c>
    </row>
    <row r="297" spans="2:3" x14ac:dyDescent="0.2">
      <c r="B297" s="70">
        <v>8.44</v>
      </c>
      <c r="C297" s="73">
        <v>64.36</v>
      </c>
    </row>
    <row r="298" spans="2:3" x14ac:dyDescent="0.2">
      <c r="B298" s="71">
        <v>7.69</v>
      </c>
      <c r="C298" s="74">
        <v>57.42</v>
      </c>
    </row>
    <row r="299" spans="2:3" x14ac:dyDescent="0.2">
      <c r="B299" s="70">
        <v>5.88</v>
      </c>
      <c r="C299" s="73">
        <v>63.1</v>
      </c>
    </row>
    <row r="300" spans="2:3" x14ac:dyDescent="0.2">
      <c r="B300" s="71">
        <v>7.55</v>
      </c>
      <c r="C300" s="74">
        <v>92.22</v>
      </c>
    </row>
    <row r="301" spans="2:3" x14ac:dyDescent="0.2">
      <c r="B301" s="70">
        <v>5.61</v>
      </c>
      <c r="C301" s="73">
        <v>63.19</v>
      </c>
    </row>
    <row r="302" spans="2:3" x14ac:dyDescent="0.2">
      <c r="B302" s="71">
        <v>5.3</v>
      </c>
      <c r="C302" s="74">
        <v>30.67</v>
      </c>
    </row>
    <row r="303" spans="2:3" x14ac:dyDescent="0.2">
      <c r="B303" s="70">
        <v>8.94</v>
      </c>
      <c r="C303" s="73">
        <v>49.92</v>
      </c>
    </row>
    <row r="304" spans="2:3" x14ac:dyDescent="0.2">
      <c r="B304" s="71">
        <v>4.1399999999999997</v>
      </c>
      <c r="C304" s="74">
        <v>22.54</v>
      </c>
    </row>
    <row r="305" spans="2:3" x14ac:dyDescent="0.2">
      <c r="B305" s="70">
        <v>6.68</v>
      </c>
      <c r="C305" s="73">
        <v>74.41</v>
      </c>
    </row>
    <row r="306" spans="2:3" x14ac:dyDescent="0.2">
      <c r="B306" s="71">
        <v>8.08</v>
      </c>
      <c r="C306" s="74">
        <v>53.62</v>
      </c>
    </row>
    <row r="307" spans="2:3" x14ac:dyDescent="0.2">
      <c r="B307" s="70">
        <v>6.33</v>
      </c>
      <c r="C307" s="73">
        <v>47.69</v>
      </c>
    </row>
    <row r="308" spans="2:3" x14ac:dyDescent="0.2">
      <c r="B308" s="71">
        <v>9.99</v>
      </c>
      <c r="C308" s="74">
        <v>64.83</v>
      </c>
    </row>
    <row r="309" spans="2:3" x14ac:dyDescent="0.2">
      <c r="B309" s="70">
        <v>5.83</v>
      </c>
      <c r="C309" s="73">
        <v>56.59</v>
      </c>
    </row>
    <row r="310" spans="2:3" x14ac:dyDescent="0.2">
      <c r="B310" s="71">
        <v>8.5399999999999991</v>
      </c>
      <c r="C310" s="74">
        <v>86.36</v>
      </c>
    </row>
    <row r="311" spans="2:3" x14ac:dyDescent="0.2">
      <c r="B311" s="70">
        <v>7.18</v>
      </c>
      <c r="C311" s="73">
        <v>22.58</v>
      </c>
    </row>
    <row r="312" spans="2:3" x14ac:dyDescent="0.2">
      <c r="B312" s="71">
        <v>8.8000000000000007</v>
      </c>
      <c r="C312" s="74">
        <v>115.37</v>
      </c>
    </row>
    <row r="313" spans="2:3" x14ac:dyDescent="0.2">
      <c r="B313" s="70">
        <v>9.33</v>
      </c>
      <c r="C313" s="73">
        <v>84.48</v>
      </c>
    </row>
    <row r="314" spans="2:3" x14ac:dyDescent="0.2">
      <c r="B314" s="71">
        <v>8.98</v>
      </c>
      <c r="C314" s="74">
        <v>47.37</v>
      </c>
    </row>
    <row r="315" spans="2:3" x14ac:dyDescent="0.2">
      <c r="B315" s="70">
        <v>6.84</v>
      </c>
      <c r="C315" s="73">
        <v>81.88</v>
      </c>
    </row>
    <row r="316" spans="2:3" x14ac:dyDescent="0.2">
      <c r="B316" s="71">
        <v>7.66</v>
      </c>
      <c r="C316" s="74">
        <v>69.099999999999994</v>
      </c>
    </row>
    <row r="317" spans="2:3" x14ac:dyDescent="0.2">
      <c r="B317" s="70">
        <v>7.93</v>
      </c>
      <c r="C317" s="73">
        <v>53.17</v>
      </c>
    </row>
    <row r="318" spans="2:3" x14ac:dyDescent="0.2">
      <c r="B318" s="71">
        <v>4</v>
      </c>
      <c r="C318" s="74">
        <v>58.99</v>
      </c>
    </row>
    <row r="319" spans="2:3" x14ac:dyDescent="0.2">
      <c r="B319" s="70">
        <v>5.97</v>
      </c>
      <c r="C319" s="73">
        <v>49.48</v>
      </c>
    </row>
    <row r="320" spans="2:3" x14ac:dyDescent="0.2">
      <c r="B320" s="71">
        <v>5.45</v>
      </c>
      <c r="C320" s="74">
        <v>53</v>
      </c>
    </row>
    <row r="321" spans="2:3" x14ac:dyDescent="0.2">
      <c r="B321" s="70">
        <v>4.78</v>
      </c>
      <c r="C321" s="73">
        <v>76.27</v>
      </c>
    </row>
    <row r="322" spans="2:3" x14ac:dyDescent="0.2">
      <c r="B322" s="71">
        <v>5.53</v>
      </c>
      <c r="C322" s="74">
        <v>61.26</v>
      </c>
    </row>
    <row r="323" spans="2:3" x14ac:dyDescent="0.2">
      <c r="B323" s="70">
        <v>9.17</v>
      </c>
      <c r="C323" s="73">
        <v>59.62</v>
      </c>
    </row>
    <row r="324" spans="2:3" x14ac:dyDescent="0.2">
      <c r="B324" s="71">
        <v>5.05</v>
      </c>
      <c r="C324" s="74">
        <v>74.09</v>
      </c>
    </row>
    <row r="325" spans="2:3" x14ac:dyDescent="0.2">
      <c r="B325" s="70">
        <v>8.6</v>
      </c>
      <c r="C325" s="73">
        <v>42.69</v>
      </c>
    </row>
    <row r="326" spans="2:3" x14ac:dyDescent="0.2">
      <c r="B326" s="71">
        <v>6.41</v>
      </c>
      <c r="C326" s="74">
        <v>26.77</v>
      </c>
    </row>
    <row r="327" spans="2:3" x14ac:dyDescent="0.2">
      <c r="B327" s="70">
        <v>9.25</v>
      </c>
      <c r="C327" s="73">
        <v>82.31</v>
      </c>
    </row>
    <row r="328" spans="2:3" x14ac:dyDescent="0.2">
      <c r="B328" s="71">
        <v>6.78</v>
      </c>
      <c r="C328" s="74">
        <v>73.25</v>
      </c>
    </row>
    <row r="329" spans="2:3" x14ac:dyDescent="0.2">
      <c r="B329" s="70">
        <v>5.42</v>
      </c>
      <c r="C329" s="73">
        <v>35.58</v>
      </c>
    </row>
    <row r="330" spans="2:3" x14ac:dyDescent="0.2">
      <c r="B330" s="71">
        <v>7.37</v>
      </c>
      <c r="C330" s="74">
        <v>19.02</v>
      </c>
    </row>
    <row r="331" spans="2:3" x14ac:dyDescent="0.2">
      <c r="B331" s="70">
        <v>4.96</v>
      </c>
      <c r="C331" s="73">
        <v>76.37</v>
      </c>
    </row>
    <row r="332" spans="2:3" x14ac:dyDescent="0.2">
      <c r="B332" s="71">
        <v>7.27</v>
      </c>
      <c r="C332" s="74">
        <v>64.69</v>
      </c>
    </row>
    <row r="333" spans="2:3" x14ac:dyDescent="0.2">
      <c r="B333" s="70">
        <v>6.31</v>
      </c>
      <c r="C333" s="73">
        <v>21.73</v>
      </c>
    </row>
    <row r="334" spans="2:3" x14ac:dyDescent="0.2">
      <c r="B334" s="71">
        <v>8.91</v>
      </c>
      <c r="C334" s="74">
        <v>47.3</v>
      </c>
    </row>
    <row r="335" spans="2:3" x14ac:dyDescent="0.2">
      <c r="B335" s="70">
        <v>9.8699999999999992</v>
      </c>
      <c r="C335" s="73">
        <v>77.92</v>
      </c>
    </row>
    <row r="336" spans="2:3" x14ac:dyDescent="0.2">
      <c r="B336" s="71">
        <v>4.24</v>
      </c>
      <c r="C336" s="74">
        <v>57.95</v>
      </c>
    </row>
    <row r="337" spans="2:3" x14ac:dyDescent="0.2">
      <c r="B337" s="70">
        <v>4.2</v>
      </c>
      <c r="C337" s="73">
        <v>44.29</v>
      </c>
    </row>
    <row r="338" spans="2:3" x14ac:dyDescent="0.2">
      <c r="B338" s="71">
        <v>5.58</v>
      </c>
      <c r="C338" s="74">
        <v>74.44</v>
      </c>
    </row>
    <row r="339" spans="2:3" x14ac:dyDescent="0.2">
      <c r="B339" s="70">
        <v>5.68</v>
      </c>
      <c r="C339" s="73">
        <v>47.5</v>
      </c>
    </row>
    <row r="340" spans="2:3" x14ac:dyDescent="0.2">
      <c r="B340" s="71">
        <v>9.69</v>
      </c>
      <c r="C340" s="74">
        <v>100.72</v>
      </c>
    </row>
    <row r="341" spans="2:3" x14ac:dyDescent="0.2">
      <c r="B341" s="70">
        <v>8.11</v>
      </c>
      <c r="C341" s="73">
        <v>81.53</v>
      </c>
    </row>
    <row r="342" spans="2:3" x14ac:dyDescent="0.2">
      <c r="B342" s="71">
        <v>5.0999999999999996</v>
      </c>
      <c r="C342" s="74">
        <v>58.17</v>
      </c>
    </row>
    <row r="343" spans="2:3" x14ac:dyDescent="0.2">
      <c r="B343" s="70">
        <v>8.35</v>
      </c>
      <c r="C343" s="73">
        <v>41.23</v>
      </c>
    </row>
    <row r="344" spans="2:3" x14ac:dyDescent="0.2">
      <c r="B344" s="71">
        <v>5.74</v>
      </c>
      <c r="C344" s="74">
        <v>77.319999999999993</v>
      </c>
    </row>
    <row r="345" spans="2:3" x14ac:dyDescent="0.2">
      <c r="B345" s="70">
        <v>6.85</v>
      </c>
      <c r="C345" s="73">
        <v>54.74</v>
      </c>
    </row>
    <row r="346" spans="2:3" x14ac:dyDescent="0.2">
      <c r="B346" s="71">
        <v>9.5</v>
      </c>
      <c r="C346" s="74">
        <v>47.91</v>
      </c>
    </row>
    <row r="347" spans="2:3" x14ac:dyDescent="0.2">
      <c r="B347" s="70">
        <v>5.86</v>
      </c>
      <c r="C347" s="73">
        <v>77.989999999999995</v>
      </c>
    </row>
    <row r="348" spans="2:3" x14ac:dyDescent="0.2">
      <c r="B348" s="71">
        <v>6.5</v>
      </c>
      <c r="C348" s="74">
        <v>44.27</v>
      </c>
    </row>
    <row r="349" spans="2:3" x14ac:dyDescent="0.2">
      <c r="B349" s="70">
        <v>8.7899999999999991</v>
      </c>
      <c r="C349" s="73">
        <v>91.53</v>
      </c>
    </row>
    <row r="350" spans="2:3" x14ac:dyDescent="0.2">
      <c r="B350" s="71">
        <v>6.71</v>
      </c>
      <c r="C350" s="74">
        <v>40.14</v>
      </c>
    </row>
    <row r="351" spans="2:3" x14ac:dyDescent="0.2">
      <c r="B351" s="70">
        <v>7.27</v>
      </c>
      <c r="C351" s="73">
        <v>62.96</v>
      </c>
    </row>
    <row r="352" spans="2:3" x14ac:dyDescent="0.2">
      <c r="B352" s="71">
        <v>6.91</v>
      </c>
      <c r="C352" s="74">
        <v>76.37</v>
      </c>
    </row>
    <row r="353" spans="2:3" x14ac:dyDescent="0.2">
      <c r="B353" s="70">
        <v>6.94</v>
      </c>
      <c r="C353" s="73">
        <v>85.29</v>
      </c>
    </row>
    <row r="354" spans="2:3" x14ac:dyDescent="0.2">
      <c r="B354" s="71">
        <v>5.24</v>
      </c>
      <c r="C354" s="74">
        <v>42.46</v>
      </c>
    </row>
    <row r="355" spans="2:3" x14ac:dyDescent="0.2">
      <c r="B355" s="70">
        <v>4.4400000000000004</v>
      </c>
      <c r="C355" s="73">
        <v>34.409999999999997</v>
      </c>
    </row>
    <row r="356" spans="2:3" x14ac:dyDescent="0.2">
      <c r="B356" s="71">
        <v>7.58</v>
      </c>
      <c r="C356" s="74">
        <v>54.71</v>
      </c>
    </row>
    <row r="357" spans="2:3" x14ac:dyDescent="0.2">
      <c r="B357" s="70">
        <v>9.0399999999999991</v>
      </c>
      <c r="C357" s="73">
        <v>89.08</v>
      </c>
    </row>
    <row r="358" spans="2:3" x14ac:dyDescent="0.2">
      <c r="B358" s="71">
        <v>7.84</v>
      </c>
      <c r="C358" s="74">
        <v>63.91</v>
      </c>
    </row>
    <row r="359" spans="2:3" x14ac:dyDescent="0.2">
      <c r="B359" s="70">
        <v>5.18</v>
      </c>
      <c r="C359" s="73">
        <v>59.17</v>
      </c>
    </row>
    <row r="360" spans="2:3" x14ac:dyDescent="0.2">
      <c r="B360" s="71">
        <v>8.14</v>
      </c>
      <c r="C360" s="74">
        <v>74.739999999999995</v>
      </c>
    </row>
    <row r="361" spans="2:3" x14ac:dyDescent="0.2">
      <c r="B361" s="70">
        <v>9.57</v>
      </c>
      <c r="C361" s="73">
        <v>80.03</v>
      </c>
    </row>
    <row r="362" spans="2:3" x14ac:dyDescent="0.2">
      <c r="B362" s="71">
        <v>6.51</v>
      </c>
      <c r="C362" s="74">
        <v>67.02</v>
      </c>
    </row>
    <row r="363" spans="2:3" x14ac:dyDescent="0.2">
      <c r="B363" s="70">
        <v>8.65</v>
      </c>
      <c r="C363" s="73">
        <v>91.16</v>
      </c>
    </row>
    <row r="364" spans="2:3" x14ac:dyDescent="0.2">
      <c r="B364" s="71">
        <v>6.09</v>
      </c>
      <c r="C364" s="74">
        <v>55.31</v>
      </c>
    </row>
    <row r="365" spans="2:3" x14ac:dyDescent="0.2">
      <c r="B365" s="70">
        <v>7.79</v>
      </c>
      <c r="C365" s="73">
        <v>34.770000000000003</v>
      </c>
    </row>
    <row r="366" spans="2:3" x14ac:dyDescent="0.2">
      <c r="B366" s="71">
        <v>5.58</v>
      </c>
      <c r="C366" s="74">
        <v>24.34</v>
      </c>
    </row>
    <row r="367" spans="2:3" x14ac:dyDescent="0.2">
      <c r="B367" s="70">
        <v>8.68</v>
      </c>
      <c r="C367" s="73">
        <v>89.26</v>
      </c>
    </row>
    <row r="368" spans="2:3" x14ac:dyDescent="0.2">
      <c r="B368" s="71">
        <v>7.81</v>
      </c>
      <c r="C368" s="74">
        <v>44.39</v>
      </c>
    </row>
    <row r="369" spans="2:3" x14ac:dyDescent="0.2">
      <c r="B369" s="70">
        <v>5.22</v>
      </c>
      <c r="C369" s="73">
        <v>28.76</v>
      </c>
    </row>
    <row r="370" spans="2:3" x14ac:dyDescent="0.2">
      <c r="B370" s="71">
        <v>8.6</v>
      </c>
      <c r="C370" s="74">
        <v>84.49</v>
      </c>
    </row>
    <row r="371" spans="2:3" x14ac:dyDescent="0.2">
      <c r="B371" s="70">
        <v>4.22</v>
      </c>
      <c r="C371" s="73">
        <v>52.93</v>
      </c>
    </row>
    <row r="372" spans="2:3" x14ac:dyDescent="0.2">
      <c r="B372" s="71">
        <v>6.95</v>
      </c>
      <c r="C372" s="74">
        <v>87.42</v>
      </c>
    </row>
    <row r="373" spans="2:3" x14ac:dyDescent="0.2">
      <c r="B373" s="70">
        <v>6.82</v>
      </c>
      <c r="C373" s="73">
        <v>51.97</v>
      </c>
    </row>
    <row r="374" spans="2:3" x14ac:dyDescent="0.2">
      <c r="B374" s="71">
        <v>9.06</v>
      </c>
      <c r="C374" s="74">
        <v>67.66</v>
      </c>
    </row>
    <row r="375" spans="2:3" x14ac:dyDescent="0.2">
      <c r="B375" s="70">
        <v>6.7</v>
      </c>
      <c r="C375" s="73">
        <v>47.74</v>
      </c>
    </row>
    <row r="376" spans="2:3" x14ac:dyDescent="0.2">
      <c r="B376" s="71">
        <v>4.0199999999999996</v>
      </c>
      <c r="C376" s="74">
        <v>70</v>
      </c>
    </row>
    <row r="377" spans="2:3" x14ac:dyDescent="0.2">
      <c r="B377" s="70">
        <v>9.5299999999999994</v>
      </c>
      <c r="C377" s="73">
        <v>73.02</v>
      </c>
    </row>
    <row r="378" spans="2:3" x14ac:dyDescent="0.2">
      <c r="B378" s="71">
        <v>6.49</v>
      </c>
      <c r="C378" s="74">
        <v>63.52</v>
      </c>
    </row>
    <row r="379" spans="2:3" x14ac:dyDescent="0.2">
      <c r="B379" s="70">
        <v>8.85</v>
      </c>
      <c r="C379" s="73">
        <v>66.16</v>
      </c>
    </row>
    <row r="380" spans="2:3" x14ac:dyDescent="0.2">
      <c r="B380" s="71">
        <v>6.27</v>
      </c>
      <c r="C380" s="74">
        <v>59.31</v>
      </c>
    </row>
    <row r="381" spans="2:3" x14ac:dyDescent="0.2">
      <c r="B381" s="70">
        <v>6.18</v>
      </c>
      <c r="C381" s="73">
        <v>31.57</v>
      </c>
    </row>
    <row r="382" spans="2:3" x14ac:dyDescent="0.2">
      <c r="B382" s="71">
        <v>8</v>
      </c>
      <c r="C382" s="74">
        <v>62.46</v>
      </c>
    </row>
    <row r="383" spans="2:3" x14ac:dyDescent="0.2">
      <c r="B383" s="70">
        <v>6.96</v>
      </c>
      <c r="C383" s="73">
        <v>61.19</v>
      </c>
    </row>
    <row r="384" spans="2:3" x14ac:dyDescent="0.2">
      <c r="B384" s="71">
        <v>9.56</v>
      </c>
      <c r="C384" s="74">
        <v>67.12</v>
      </c>
    </row>
    <row r="385" spans="2:3" x14ac:dyDescent="0.2">
      <c r="B385" s="70">
        <v>6.06</v>
      </c>
      <c r="C385" s="73">
        <v>54.51</v>
      </c>
    </row>
    <row r="386" spans="2:3" x14ac:dyDescent="0.2">
      <c r="B386" s="71">
        <v>7.7</v>
      </c>
      <c r="C386" s="74">
        <v>61.02</v>
      </c>
    </row>
    <row r="387" spans="2:3" x14ac:dyDescent="0.2">
      <c r="B387" s="70">
        <v>5.05</v>
      </c>
      <c r="C387" s="73">
        <v>73.69</v>
      </c>
    </row>
    <row r="388" spans="2:3" x14ac:dyDescent="0.2">
      <c r="B388" s="71">
        <v>7.38</v>
      </c>
      <c r="C388" s="74">
        <v>75.75</v>
      </c>
    </row>
    <row r="389" spans="2:3" x14ac:dyDescent="0.2">
      <c r="B389" s="70">
        <v>6.23</v>
      </c>
      <c r="C389" s="73">
        <v>36.51</v>
      </c>
    </row>
    <row r="390" spans="2:3" x14ac:dyDescent="0.2">
      <c r="B390" s="71">
        <v>7.19</v>
      </c>
      <c r="C390" s="74">
        <v>48.4</v>
      </c>
    </row>
    <row r="391" spans="2:3" x14ac:dyDescent="0.2">
      <c r="B391" s="70">
        <v>9.3800000000000008</v>
      </c>
      <c r="C391" s="73">
        <v>90.42</v>
      </c>
    </row>
    <row r="392" spans="2:3" x14ac:dyDescent="0.2">
      <c r="B392" s="71">
        <v>7.98</v>
      </c>
      <c r="C392" s="74">
        <v>55.94</v>
      </c>
    </row>
    <row r="393" spans="2:3" x14ac:dyDescent="0.2">
      <c r="B393" s="70">
        <v>6.66</v>
      </c>
      <c r="C393" s="73">
        <v>55.42</v>
      </c>
    </row>
    <row r="394" spans="2:3" x14ac:dyDescent="0.2">
      <c r="B394" s="71">
        <v>6.96</v>
      </c>
      <c r="C394" s="74">
        <v>47.98</v>
      </c>
    </row>
    <row r="395" spans="2:3" x14ac:dyDescent="0.2">
      <c r="B395" s="70">
        <v>7.07</v>
      </c>
      <c r="C395" s="73">
        <v>92.83</v>
      </c>
    </row>
    <row r="396" spans="2:3" x14ac:dyDescent="0.2">
      <c r="B396" s="71">
        <v>8.08</v>
      </c>
      <c r="C396" s="74">
        <v>89.18</v>
      </c>
    </row>
    <row r="397" spans="2:3" x14ac:dyDescent="0.2">
      <c r="B397" s="70">
        <v>6.25</v>
      </c>
      <c r="C397" s="73">
        <v>35.03</v>
      </c>
    </row>
    <row r="398" spans="2:3" x14ac:dyDescent="0.2">
      <c r="B398" s="71">
        <v>5.15</v>
      </c>
      <c r="C398" s="74">
        <v>36.72</v>
      </c>
    </row>
    <row r="399" spans="2:3" x14ac:dyDescent="0.2">
      <c r="B399" s="70">
        <v>8.5500000000000007</v>
      </c>
      <c r="C399" s="73">
        <v>37.83</v>
      </c>
    </row>
    <row r="400" spans="2:3" x14ac:dyDescent="0.2">
      <c r="B400" s="71">
        <v>7.31</v>
      </c>
      <c r="C400" s="74">
        <v>53.57</v>
      </c>
    </row>
    <row r="401" spans="2:3" x14ac:dyDescent="0.2">
      <c r="B401" s="70">
        <v>8.41</v>
      </c>
      <c r="C401" s="73">
        <v>8.69</v>
      </c>
    </row>
    <row r="402" spans="2:3" x14ac:dyDescent="0.2">
      <c r="B402" s="71">
        <v>5.65</v>
      </c>
      <c r="C402" s="74">
        <v>20.309999999999999</v>
      </c>
    </row>
    <row r="403" spans="2:3" x14ac:dyDescent="0.2">
      <c r="B403" s="70">
        <v>9.6199999999999992</v>
      </c>
      <c r="C403" s="73">
        <v>92.89</v>
      </c>
    </row>
    <row r="404" spans="2:3" x14ac:dyDescent="0.2">
      <c r="B404" s="71">
        <v>5.94</v>
      </c>
      <c r="C404" s="74">
        <v>100.07</v>
      </c>
    </row>
    <row r="405" spans="2:3" x14ac:dyDescent="0.2">
      <c r="B405" s="70">
        <v>6.22</v>
      </c>
      <c r="C405" s="73">
        <v>33.18</v>
      </c>
    </row>
    <row r="406" spans="2:3" x14ac:dyDescent="0.2">
      <c r="B406" s="71">
        <v>6.99</v>
      </c>
      <c r="C406" s="74">
        <v>57.18</v>
      </c>
    </row>
    <row r="407" spans="2:3" x14ac:dyDescent="0.2">
      <c r="B407" s="70">
        <v>6.05</v>
      </c>
      <c r="C407" s="73">
        <v>67.25</v>
      </c>
    </row>
    <row r="408" spans="2:3" x14ac:dyDescent="0.2">
      <c r="B408" s="71">
        <v>5.31</v>
      </c>
      <c r="C408" s="74">
        <v>52.1</v>
      </c>
    </row>
    <row r="409" spans="2:3" x14ac:dyDescent="0.2">
      <c r="B409" s="70">
        <v>5.61</v>
      </c>
      <c r="C409" s="73">
        <v>71.069999999999993</v>
      </c>
    </row>
    <row r="410" spans="2:3" x14ac:dyDescent="0.2">
      <c r="B410" s="71">
        <v>8.83</v>
      </c>
      <c r="C410" s="74">
        <v>76.27</v>
      </c>
    </row>
    <row r="411" spans="2:3" x14ac:dyDescent="0.2">
      <c r="B411" s="70">
        <v>4.57</v>
      </c>
      <c r="C411" s="73">
        <v>45.88</v>
      </c>
    </row>
    <row r="412" spans="2:3" x14ac:dyDescent="0.2">
      <c r="B412" s="71">
        <v>5.99</v>
      </c>
      <c r="C412" s="74">
        <v>80.13</v>
      </c>
    </row>
    <row r="413" spans="2:3" x14ac:dyDescent="0.2">
      <c r="B413" s="70">
        <v>7.67</v>
      </c>
      <c r="C413" s="73">
        <v>58.01</v>
      </c>
    </row>
    <row r="414" spans="2:3" x14ac:dyDescent="0.2">
      <c r="B414" s="71">
        <v>8.2899999999999991</v>
      </c>
      <c r="C414" s="74">
        <v>50.65</v>
      </c>
    </row>
    <row r="415" spans="2:3" x14ac:dyDescent="0.2">
      <c r="B415" s="70">
        <v>9.23</v>
      </c>
      <c r="C415" s="73">
        <v>82.68</v>
      </c>
    </row>
    <row r="416" spans="2:3" x14ac:dyDescent="0.2">
      <c r="B416" s="71">
        <v>5.98</v>
      </c>
      <c r="C416" s="74">
        <v>56.8</v>
      </c>
    </row>
    <row r="417" spans="2:3" x14ac:dyDescent="0.2">
      <c r="B417" s="70">
        <v>5.35</v>
      </c>
      <c r="C417" s="73">
        <v>43.32</v>
      </c>
    </row>
    <row r="418" spans="2:3" x14ac:dyDescent="0.2">
      <c r="B418" s="71">
        <v>9.02</v>
      </c>
      <c r="C418" s="74">
        <v>68.38</v>
      </c>
    </row>
    <row r="419" spans="2:3" x14ac:dyDescent="0.2">
      <c r="B419" s="70">
        <v>7.27</v>
      </c>
      <c r="C419" s="73">
        <v>33.450000000000003</v>
      </c>
    </row>
    <row r="420" spans="2:3" x14ac:dyDescent="0.2">
      <c r="B420" s="71">
        <v>9.3000000000000007</v>
      </c>
      <c r="C420" s="74">
        <v>78.83</v>
      </c>
    </row>
    <row r="421" spans="2:3" x14ac:dyDescent="0.2">
      <c r="B421" s="70">
        <v>6.75</v>
      </c>
      <c r="C421" s="73">
        <v>79.989999999999995</v>
      </c>
    </row>
    <row r="422" spans="2:3" x14ac:dyDescent="0.2">
      <c r="B422" s="71">
        <v>8.8800000000000008</v>
      </c>
      <c r="C422" s="74">
        <v>73.25</v>
      </c>
    </row>
    <row r="423" spans="2:3" x14ac:dyDescent="0.2">
      <c r="B423" s="70">
        <v>7.25</v>
      </c>
      <c r="C423" s="73">
        <v>42.01</v>
      </c>
    </row>
    <row r="424" spans="2:3" x14ac:dyDescent="0.2">
      <c r="B424" s="71">
        <v>6.8</v>
      </c>
      <c r="C424" s="74">
        <v>61.9</v>
      </c>
    </row>
    <row r="425" spans="2:3" x14ac:dyDescent="0.2">
      <c r="B425" s="70">
        <v>6.65</v>
      </c>
      <c r="C425" s="73">
        <v>54.56</v>
      </c>
    </row>
    <row r="426" spans="2:3" x14ac:dyDescent="0.2">
      <c r="B426" s="71">
        <v>6.93</v>
      </c>
      <c r="C426" s="74">
        <v>71.62</v>
      </c>
    </row>
    <row r="427" spans="2:3" x14ac:dyDescent="0.2">
      <c r="B427" s="70">
        <v>8.74</v>
      </c>
      <c r="C427" s="73">
        <v>72.92</v>
      </c>
    </row>
    <row r="428" spans="2:3" x14ac:dyDescent="0.2">
      <c r="B428" s="71">
        <v>7.9</v>
      </c>
      <c r="C428" s="74">
        <v>41.49</v>
      </c>
    </row>
    <row r="429" spans="2:3" x14ac:dyDescent="0.2">
      <c r="B429" s="70">
        <v>6.73</v>
      </c>
      <c r="C429" s="73">
        <v>67.739999999999995</v>
      </c>
    </row>
    <row r="430" spans="2:3" x14ac:dyDescent="0.2">
      <c r="B430" s="71">
        <v>5.79</v>
      </c>
      <c r="C430" s="74">
        <v>43.41</v>
      </c>
    </row>
    <row r="431" spans="2:3" x14ac:dyDescent="0.2">
      <c r="B431" s="70">
        <v>4.99</v>
      </c>
      <c r="C431" s="73">
        <v>42.91</v>
      </c>
    </row>
    <row r="432" spans="2:3" x14ac:dyDescent="0.2">
      <c r="B432" s="71">
        <v>8.52</v>
      </c>
      <c r="C432" s="74">
        <v>66.650000000000006</v>
      </c>
    </row>
    <row r="433" spans="2:3" x14ac:dyDescent="0.2">
      <c r="B433" s="70">
        <v>6.65</v>
      </c>
      <c r="C433" s="73">
        <v>55.63</v>
      </c>
    </row>
    <row r="434" spans="2:3" x14ac:dyDescent="0.2">
      <c r="B434" s="71">
        <v>7.12</v>
      </c>
      <c r="C434" s="74">
        <v>89.46</v>
      </c>
    </row>
    <row r="435" spans="2:3" x14ac:dyDescent="0.2">
      <c r="B435" s="70">
        <v>7.45</v>
      </c>
      <c r="C435" s="73">
        <v>35.75</v>
      </c>
    </row>
    <row r="436" spans="2:3" x14ac:dyDescent="0.2">
      <c r="B436" s="71">
        <v>6.02</v>
      </c>
      <c r="C436" s="74">
        <v>45.03</v>
      </c>
    </row>
    <row r="437" spans="2:3" x14ac:dyDescent="0.2">
      <c r="B437" s="70">
        <v>7.87</v>
      </c>
      <c r="C437" s="73">
        <v>55.21</v>
      </c>
    </row>
    <row r="438" spans="2:3" x14ac:dyDescent="0.2">
      <c r="B438" s="71">
        <v>4.6900000000000004</v>
      </c>
      <c r="C438" s="74">
        <v>61.81</v>
      </c>
    </row>
    <row r="439" spans="2:3" x14ac:dyDescent="0.2">
      <c r="B439" s="70">
        <v>6.74</v>
      </c>
      <c r="C439" s="73">
        <v>79.67</v>
      </c>
    </row>
    <row r="440" spans="2:3" x14ac:dyDescent="0.2">
      <c r="B440" s="71">
        <v>4.92</v>
      </c>
      <c r="C440" s="74">
        <v>38.86</v>
      </c>
    </row>
    <row r="441" spans="2:3" x14ac:dyDescent="0.2">
      <c r="B441" s="70">
        <v>7.25</v>
      </c>
      <c r="C441" s="73">
        <v>91.39</v>
      </c>
    </row>
    <row r="442" spans="2:3" x14ac:dyDescent="0.2">
      <c r="B442" s="71">
        <v>5.05</v>
      </c>
      <c r="C442" s="74">
        <v>45.65</v>
      </c>
    </row>
    <row r="443" spans="2:3" x14ac:dyDescent="0.2">
      <c r="B443" s="70">
        <v>5.65</v>
      </c>
      <c r="C443" s="73">
        <v>65.02</v>
      </c>
    </row>
    <row r="444" spans="2:3" x14ac:dyDescent="0.2">
      <c r="B444" s="71">
        <v>9.1999999999999993</v>
      </c>
      <c r="C444" s="74">
        <v>72.510000000000005</v>
      </c>
    </row>
    <row r="445" spans="2:3" x14ac:dyDescent="0.2">
      <c r="B445" s="70">
        <v>6.32</v>
      </c>
      <c r="C445" s="73">
        <v>73.260000000000005</v>
      </c>
    </row>
    <row r="446" spans="2:3" x14ac:dyDescent="0.2">
      <c r="B446" s="71">
        <v>4.3899999999999997</v>
      </c>
      <c r="C446" s="74">
        <v>20.170000000000002</v>
      </c>
    </row>
    <row r="447" spans="2:3" x14ac:dyDescent="0.2">
      <c r="B447" s="70">
        <v>9.18</v>
      </c>
      <c r="C447" s="73">
        <v>65.19</v>
      </c>
    </row>
    <row r="448" spans="2:3" x14ac:dyDescent="0.2">
      <c r="B448" s="71">
        <v>7.42</v>
      </c>
      <c r="C448" s="74">
        <v>53.4</v>
      </c>
    </row>
    <row r="449" spans="2:3" x14ac:dyDescent="0.2">
      <c r="B449" s="70">
        <v>9.69</v>
      </c>
      <c r="C449" s="73">
        <v>82.07</v>
      </c>
    </row>
    <row r="450" spans="2:3" x14ac:dyDescent="0.2">
      <c r="B450" s="71">
        <v>6.03</v>
      </c>
      <c r="C450" s="74">
        <v>66.72</v>
      </c>
    </row>
    <row r="451" spans="2:3" x14ac:dyDescent="0.2">
      <c r="B451" s="70">
        <v>4.37</v>
      </c>
      <c r="C451" s="73">
        <v>23.31</v>
      </c>
    </row>
    <row r="452" spans="2:3" x14ac:dyDescent="0.2">
      <c r="B452" s="71">
        <v>7.73</v>
      </c>
      <c r="C452" s="74">
        <v>75.430000000000007</v>
      </c>
    </row>
    <row r="453" spans="2:3" x14ac:dyDescent="0.2">
      <c r="B453" s="70">
        <v>4.8</v>
      </c>
      <c r="C453" s="73">
        <v>29.99</v>
      </c>
    </row>
    <row r="454" spans="2:3" x14ac:dyDescent="0.2">
      <c r="B454" s="71">
        <v>4.8499999999999996</v>
      </c>
      <c r="C454" s="74">
        <v>59.93</v>
      </c>
    </row>
    <row r="455" spans="2:3" x14ac:dyDescent="0.2">
      <c r="B455" s="70">
        <v>8.42</v>
      </c>
      <c r="C455" s="73">
        <v>88.33</v>
      </c>
    </row>
    <row r="456" spans="2:3" x14ac:dyDescent="0.2">
      <c r="B456" s="71">
        <v>9.73</v>
      </c>
      <c r="C456" s="74">
        <v>94.71</v>
      </c>
    </row>
    <row r="457" spans="2:3" x14ac:dyDescent="0.2">
      <c r="B457" s="70">
        <v>9.27</v>
      </c>
      <c r="C457" s="73">
        <v>55.3</v>
      </c>
    </row>
    <row r="458" spans="2:3" x14ac:dyDescent="0.2">
      <c r="B458" s="71">
        <v>4.6100000000000003</v>
      </c>
      <c r="C458" s="74">
        <v>41.34</v>
      </c>
    </row>
    <row r="459" spans="2:3" x14ac:dyDescent="0.2">
      <c r="B459" s="70">
        <v>7.46</v>
      </c>
      <c r="C459" s="73">
        <v>55.88</v>
      </c>
    </row>
    <row r="460" spans="2:3" x14ac:dyDescent="0.2">
      <c r="B460" s="71">
        <v>5.86</v>
      </c>
      <c r="C460" s="74">
        <v>50.94</v>
      </c>
    </row>
    <row r="461" spans="2:3" x14ac:dyDescent="0.2">
      <c r="B461" s="70">
        <v>9.1999999999999993</v>
      </c>
      <c r="C461" s="73">
        <v>73.45</v>
      </c>
    </row>
    <row r="462" spans="2:3" x14ac:dyDescent="0.2">
      <c r="B462" s="71">
        <v>4.46</v>
      </c>
      <c r="C462" s="74">
        <v>34.049999999999997</v>
      </c>
    </row>
    <row r="463" spans="2:3" x14ac:dyDescent="0.2">
      <c r="B463" s="70">
        <v>9.44</v>
      </c>
      <c r="C463" s="73">
        <v>61.2</v>
      </c>
    </row>
    <row r="464" spans="2:3" x14ac:dyDescent="0.2">
      <c r="B464" s="71">
        <v>9.4700000000000006</v>
      </c>
      <c r="C464" s="74">
        <v>75.08</v>
      </c>
    </row>
    <row r="465" spans="2:3" x14ac:dyDescent="0.2">
      <c r="B465" s="70">
        <v>7.81</v>
      </c>
      <c r="C465" s="73">
        <v>71.47</v>
      </c>
    </row>
    <row r="466" spans="2:3" x14ac:dyDescent="0.2">
      <c r="B466" s="71">
        <v>6.34</v>
      </c>
      <c r="C466" s="74">
        <v>56.08</v>
      </c>
    </row>
    <row r="467" spans="2:3" x14ac:dyDescent="0.2">
      <c r="B467" s="70">
        <v>5.5</v>
      </c>
      <c r="C467" s="73">
        <v>70.36</v>
      </c>
    </row>
    <row r="468" spans="2:3" x14ac:dyDescent="0.2">
      <c r="B468" s="71">
        <v>9.99</v>
      </c>
      <c r="C468" s="74">
        <v>92.22</v>
      </c>
    </row>
    <row r="469" spans="2:3" x14ac:dyDescent="0.2">
      <c r="B469" s="70">
        <v>8.89</v>
      </c>
      <c r="C469" s="73">
        <v>85.79</v>
      </c>
    </row>
    <row r="470" spans="2:3" x14ac:dyDescent="0.2">
      <c r="B470" s="71">
        <v>9.3000000000000007</v>
      </c>
      <c r="C470" s="74">
        <v>58.26</v>
      </c>
    </row>
    <row r="471" spans="2:3" x14ac:dyDescent="0.2">
      <c r="B471" s="70">
        <v>6.67</v>
      </c>
      <c r="C471" s="73">
        <v>50.18</v>
      </c>
    </row>
    <row r="472" spans="2:3" x14ac:dyDescent="0.2">
      <c r="B472" s="71">
        <v>6.54</v>
      </c>
      <c r="C472" s="74">
        <v>60.5</v>
      </c>
    </row>
    <row r="473" spans="2:3" x14ac:dyDescent="0.2">
      <c r="B473" s="70">
        <v>6.92</v>
      </c>
      <c r="C473" s="73">
        <v>50.8</v>
      </c>
    </row>
    <row r="474" spans="2:3" x14ac:dyDescent="0.2">
      <c r="B474" s="71">
        <v>5.91</v>
      </c>
      <c r="C474" s="74">
        <v>54.85</v>
      </c>
    </row>
    <row r="475" spans="2:3" x14ac:dyDescent="0.2">
      <c r="B475" s="70">
        <v>5.76</v>
      </c>
      <c r="C475" s="73">
        <v>36.57</v>
      </c>
    </row>
    <row r="476" spans="2:3" x14ac:dyDescent="0.2">
      <c r="B476" s="71">
        <v>9.27</v>
      </c>
      <c r="C476" s="74">
        <v>81.64</v>
      </c>
    </row>
    <row r="477" spans="2:3" x14ac:dyDescent="0.2">
      <c r="B477" s="70">
        <v>9.2100000000000009</v>
      </c>
      <c r="C477" s="73">
        <v>67.63</v>
      </c>
    </row>
    <row r="478" spans="2:3" x14ac:dyDescent="0.2">
      <c r="B478" s="71">
        <v>4.6399999999999997</v>
      </c>
      <c r="C478" s="74">
        <v>38.450000000000003</v>
      </c>
    </row>
    <row r="479" spans="2:3" x14ac:dyDescent="0.2">
      <c r="B479" s="70">
        <v>7.46</v>
      </c>
      <c r="C479" s="73">
        <v>52.4</v>
      </c>
    </row>
    <row r="480" spans="2:3" x14ac:dyDescent="0.2">
      <c r="B480" s="71">
        <v>5.85</v>
      </c>
      <c r="C480" s="74">
        <v>28.16</v>
      </c>
    </row>
    <row r="481" spans="2:3" x14ac:dyDescent="0.2">
      <c r="B481" s="70">
        <v>6.23</v>
      </c>
      <c r="C481" s="73">
        <v>42.26</v>
      </c>
    </row>
    <row r="482" spans="2:3" x14ac:dyDescent="0.2">
      <c r="B482" s="71">
        <v>6.46</v>
      </c>
      <c r="C482" s="74">
        <v>50.33</v>
      </c>
    </row>
    <row r="483" spans="2:3" x14ac:dyDescent="0.2">
      <c r="B483" s="70">
        <v>7.48</v>
      </c>
      <c r="C483" s="73">
        <v>49.8</v>
      </c>
    </row>
    <row r="484" spans="2:3" x14ac:dyDescent="0.2">
      <c r="B484" s="71">
        <v>5.93</v>
      </c>
      <c r="C484" s="74">
        <v>10.96</v>
      </c>
    </row>
    <row r="485" spans="2:3" x14ac:dyDescent="0.2">
      <c r="B485" s="70">
        <v>4.96</v>
      </c>
      <c r="C485" s="73">
        <v>35.53</v>
      </c>
    </row>
    <row r="486" spans="2:3" x14ac:dyDescent="0.2">
      <c r="B486" s="71">
        <v>4.0599999999999996</v>
      </c>
      <c r="C486" s="74">
        <v>21.98</v>
      </c>
    </row>
    <row r="487" spans="2:3" x14ac:dyDescent="0.2">
      <c r="B487" s="70">
        <v>4.1500000000000004</v>
      </c>
      <c r="C487" s="73">
        <v>20.84</v>
      </c>
    </row>
    <row r="488" spans="2:3" x14ac:dyDescent="0.2">
      <c r="B488" s="71">
        <v>4.3099999999999996</v>
      </c>
      <c r="C488" s="74">
        <v>33.97</v>
      </c>
    </row>
    <row r="489" spans="2:3" x14ac:dyDescent="0.2">
      <c r="B489" s="70">
        <v>7.07</v>
      </c>
      <c r="C489" s="73">
        <v>48.18</v>
      </c>
    </row>
    <row r="490" spans="2:3" x14ac:dyDescent="0.2">
      <c r="B490" s="71">
        <v>6.64</v>
      </c>
      <c r="C490" s="74">
        <v>66.959999999999994</v>
      </c>
    </row>
    <row r="491" spans="2:3" x14ac:dyDescent="0.2">
      <c r="B491" s="70">
        <v>4.62</v>
      </c>
      <c r="C491" s="73">
        <v>65.36</v>
      </c>
    </row>
    <row r="492" spans="2:3" x14ac:dyDescent="0.2">
      <c r="B492" s="71">
        <v>4.03</v>
      </c>
      <c r="C492" s="74">
        <v>25.68</v>
      </c>
    </row>
    <row r="493" spans="2:3" x14ac:dyDescent="0.2">
      <c r="B493" s="70">
        <v>8.9700000000000006</v>
      </c>
      <c r="C493" s="73">
        <v>53.51</v>
      </c>
    </row>
    <row r="494" spans="2:3" x14ac:dyDescent="0.2">
      <c r="B494" s="71">
        <v>5.21</v>
      </c>
      <c r="C494" s="74">
        <v>92.88</v>
      </c>
    </row>
    <row r="495" spans="2:3" x14ac:dyDescent="0.2">
      <c r="B495" s="70">
        <v>7.93</v>
      </c>
      <c r="C495" s="73">
        <v>61.63</v>
      </c>
    </row>
    <row r="496" spans="2:3" x14ac:dyDescent="0.2">
      <c r="B496" s="71">
        <v>4.12</v>
      </c>
      <c r="C496" s="74">
        <v>37.869999999999997</v>
      </c>
    </row>
    <row r="497" spans="2:3" x14ac:dyDescent="0.2">
      <c r="B497" s="70">
        <v>4.62</v>
      </c>
      <c r="C497" s="73">
        <v>24.61</v>
      </c>
    </row>
    <row r="498" spans="2:3" x14ac:dyDescent="0.2">
      <c r="B498" s="71">
        <v>7.06</v>
      </c>
      <c r="C498" s="74">
        <v>40.79</v>
      </c>
    </row>
    <row r="499" spans="2:3" x14ac:dyDescent="0.2">
      <c r="B499" s="70">
        <v>9.23</v>
      </c>
      <c r="C499" s="73">
        <v>94.26</v>
      </c>
    </row>
    <row r="500" spans="2:3" x14ac:dyDescent="0.2">
      <c r="B500" s="71">
        <v>5.96</v>
      </c>
      <c r="C500" s="74">
        <v>84.26</v>
      </c>
    </row>
    <row r="501" spans="2:3" x14ac:dyDescent="0.2">
      <c r="B501" s="70">
        <v>9.24</v>
      </c>
      <c r="C501" s="73">
        <v>77.36</v>
      </c>
    </row>
    <row r="502" spans="2:3" x14ac:dyDescent="0.2">
      <c r="B502" s="71">
        <v>5.84</v>
      </c>
      <c r="C502" s="74">
        <v>40.15</v>
      </c>
    </row>
    <row r="503" spans="2:3" x14ac:dyDescent="0.2">
      <c r="B503" s="70">
        <v>4.66</v>
      </c>
      <c r="C503" s="73">
        <v>36.200000000000003</v>
      </c>
    </row>
    <row r="504" spans="2:3" x14ac:dyDescent="0.2">
      <c r="B504" s="71">
        <v>8.41</v>
      </c>
      <c r="C504" s="74">
        <v>54.49</v>
      </c>
    </row>
    <row r="505" spans="2:3" x14ac:dyDescent="0.2">
      <c r="B505" s="70">
        <v>9.15</v>
      </c>
      <c r="C505" s="73">
        <v>78.58</v>
      </c>
    </row>
    <row r="506" spans="2:3" x14ac:dyDescent="0.2">
      <c r="B506" s="71">
        <v>5.67</v>
      </c>
      <c r="C506" s="74">
        <v>61.28</v>
      </c>
    </row>
    <row r="507" spans="2:3" x14ac:dyDescent="0.2">
      <c r="B507" s="70">
        <v>5.59</v>
      </c>
      <c r="C507" s="73">
        <v>68.12</v>
      </c>
    </row>
    <row r="508" spans="2:3" x14ac:dyDescent="0.2">
      <c r="B508" s="71">
        <v>9.1</v>
      </c>
      <c r="C508" s="74">
        <v>52.07</v>
      </c>
    </row>
    <row r="509" spans="2:3" x14ac:dyDescent="0.2">
      <c r="B509" s="70">
        <v>6.24</v>
      </c>
      <c r="C509" s="73">
        <v>54.93</v>
      </c>
    </row>
    <row r="510" spans="2:3" x14ac:dyDescent="0.2">
      <c r="B510" s="71">
        <v>8.1</v>
      </c>
      <c r="C510" s="74">
        <v>65.84</v>
      </c>
    </row>
    <row r="511" spans="2:3" x14ac:dyDescent="0.2">
      <c r="B511" s="70">
        <v>5.61</v>
      </c>
      <c r="C511" s="73">
        <v>47.22</v>
      </c>
    </row>
    <row r="512" spans="2:3" x14ac:dyDescent="0.2">
      <c r="B512" s="71">
        <v>5.48</v>
      </c>
      <c r="C512" s="74">
        <v>34.47</v>
      </c>
    </row>
    <row r="513" spans="2:3" x14ac:dyDescent="0.2">
      <c r="B513" s="70">
        <v>4.26</v>
      </c>
      <c r="C513" s="73">
        <v>43.55</v>
      </c>
    </row>
    <row r="514" spans="2:3" x14ac:dyDescent="0.2">
      <c r="B514" s="71">
        <v>9.68</v>
      </c>
      <c r="C514" s="74">
        <v>132.72999999999999</v>
      </c>
    </row>
    <row r="515" spans="2:3" x14ac:dyDescent="0.2">
      <c r="B515" s="70">
        <v>9.86</v>
      </c>
      <c r="C515" s="73">
        <v>72.349999999999994</v>
      </c>
    </row>
    <row r="516" spans="2:3" x14ac:dyDescent="0.2">
      <c r="B516" s="71">
        <v>4.88</v>
      </c>
      <c r="C516" s="74">
        <v>62.64</v>
      </c>
    </row>
    <row r="517" spans="2:3" x14ac:dyDescent="0.2">
      <c r="B517" s="70">
        <v>9.6199999999999992</v>
      </c>
      <c r="C517" s="73">
        <v>67.069999999999993</v>
      </c>
    </row>
    <row r="518" spans="2:3" x14ac:dyDescent="0.2">
      <c r="B518" s="71">
        <v>6.28</v>
      </c>
      <c r="C518" s="74">
        <v>61.5</v>
      </c>
    </row>
    <row r="519" spans="2:3" x14ac:dyDescent="0.2">
      <c r="B519" s="70">
        <v>9.58</v>
      </c>
      <c r="C519" s="73">
        <v>57.83</v>
      </c>
    </row>
    <row r="520" spans="2:3" x14ac:dyDescent="0.2">
      <c r="B520" s="71">
        <v>5.79</v>
      </c>
      <c r="C520" s="74">
        <v>67.23</v>
      </c>
    </row>
    <row r="521" spans="2:3" x14ac:dyDescent="0.2">
      <c r="B521" s="70">
        <v>6.25</v>
      </c>
      <c r="C521" s="73">
        <v>59.23</v>
      </c>
    </row>
    <row r="522" spans="2:3" x14ac:dyDescent="0.2">
      <c r="B522" s="71">
        <v>4.46</v>
      </c>
      <c r="C522" s="74">
        <v>30.81</v>
      </c>
    </row>
    <row r="523" spans="2:3" x14ac:dyDescent="0.2">
      <c r="B523" s="70">
        <v>6.56</v>
      </c>
      <c r="C523" s="73">
        <v>76.7</v>
      </c>
    </row>
    <row r="524" spans="2:3" x14ac:dyDescent="0.2">
      <c r="B524" s="71">
        <v>8.6999999999999993</v>
      </c>
      <c r="C524" s="74">
        <v>66.56</v>
      </c>
    </row>
    <row r="525" spans="2:3" x14ac:dyDescent="0.2">
      <c r="B525" s="70">
        <v>8.68</v>
      </c>
      <c r="C525" s="73">
        <v>42.13</v>
      </c>
    </row>
    <row r="526" spans="2:3" x14ac:dyDescent="0.2">
      <c r="B526" s="71">
        <v>4.78</v>
      </c>
      <c r="C526" s="74">
        <v>67.87</v>
      </c>
    </row>
    <row r="527" spans="2:3" x14ac:dyDescent="0.2">
      <c r="B527" s="70">
        <v>4.3899999999999997</v>
      </c>
      <c r="C527" s="73">
        <v>35.26</v>
      </c>
    </row>
    <row r="528" spans="2:3" x14ac:dyDescent="0.2">
      <c r="B528" s="71">
        <v>5.66</v>
      </c>
      <c r="C528" s="74">
        <v>56.39</v>
      </c>
    </row>
    <row r="529" spans="2:3" x14ac:dyDescent="0.2">
      <c r="B529" s="70">
        <v>6.47</v>
      </c>
      <c r="C529" s="73">
        <v>36.21</v>
      </c>
    </row>
    <row r="530" spans="2:3" x14ac:dyDescent="0.2">
      <c r="B530" s="71">
        <v>7.3</v>
      </c>
      <c r="C530" s="74">
        <v>101.92</v>
      </c>
    </row>
    <row r="531" spans="2:3" x14ac:dyDescent="0.2">
      <c r="B531" s="70">
        <v>6.16</v>
      </c>
      <c r="C531" s="73">
        <v>43.75</v>
      </c>
    </row>
    <row r="532" spans="2:3" x14ac:dyDescent="0.2">
      <c r="B532" s="71">
        <v>5.67</v>
      </c>
      <c r="C532" s="74">
        <v>77.45</v>
      </c>
    </row>
    <row r="533" spans="2:3" x14ac:dyDescent="0.2">
      <c r="B533" s="70">
        <v>5.96</v>
      </c>
      <c r="C533" s="73">
        <v>80.31</v>
      </c>
    </row>
    <row r="534" spans="2:3" x14ac:dyDescent="0.2">
      <c r="B534" s="71">
        <v>7.97</v>
      </c>
      <c r="C534" s="74">
        <v>104.75</v>
      </c>
    </row>
    <row r="535" spans="2:3" x14ac:dyDescent="0.2">
      <c r="B535" s="70">
        <v>8.02</v>
      </c>
      <c r="C535" s="73">
        <v>79.25</v>
      </c>
    </row>
    <row r="536" spans="2:3" x14ac:dyDescent="0.2">
      <c r="B536" s="71">
        <v>6.27</v>
      </c>
      <c r="C536" s="74">
        <v>78.2</v>
      </c>
    </row>
    <row r="537" spans="2:3" x14ac:dyDescent="0.2">
      <c r="B537" s="70">
        <v>8.1199999999999992</v>
      </c>
      <c r="C537" s="73">
        <v>89.07</v>
      </c>
    </row>
    <row r="538" spans="2:3" x14ac:dyDescent="0.2">
      <c r="B538" s="71">
        <v>6.65</v>
      </c>
      <c r="C538" s="74">
        <v>62.98</v>
      </c>
    </row>
    <row r="539" spans="2:3" x14ac:dyDescent="0.2">
      <c r="B539" s="70">
        <v>8.69</v>
      </c>
      <c r="C539" s="73">
        <v>72.78</v>
      </c>
    </row>
    <row r="540" spans="2:3" x14ac:dyDescent="0.2">
      <c r="B540" s="71">
        <v>8.0399999999999991</v>
      </c>
      <c r="C540" s="74">
        <v>110.48</v>
      </c>
    </row>
    <row r="541" spans="2:3" x14ac:dyDescent="0.2">
      <c r="B541" s="70">
        <v>5.0999999999999996</v>
      </c>
      <c r="C541" s="73">
        <v>51</v>
      </c>
    </row>
    <row r="542" spans="2:3" x14ac:dyDescent="0.2">
      <c r="B542" s="71">
        <v>8.19</v>
      </c>
      <c r="C542" s="74">
        <v>77.39</v>
      </c>
    </row>
    <row r="543" spans="2:3" x14ac:dyDescent="0.2">
      <c r="B543" s="70">
        <v>4.87</v>
      </c>
      <c r="C543" s="73">
        <v>53.52</v>
      </c>
    </row>
    <row r="544" spans="2:3" x14ac:dyDescent="0.2">
      <c r="B544" s="71">
        <v>6.46</v>
      </c>
      <c r="C544" s="74">
        <v>69.069999999999993</v>
      </c>
    </row>
    <row r="545" spans="2:3" x14ac:dyDescent="0.2">
      <c r="B545" s="70">
        <v>8.68</v>
      </c>
      <c r="C545" s="73">
        <v>87.01</v>
      </c>
    </row>
    <row r="546" spans="2:3" x14ac:dyDescent="0.2">
      <c r="B546" s="71">
        <v>7.72</v>
      </c>
      <c r="C546" s="74">
        <v>31.75</v>
      </c>
    </row>
    <row r="547" spans="2:3" x14ac:dyDescent="0.2">
      <c r="B547" s="70">
        <v>9.33</v>
      </c>
      <c r="C547" s="73">
        <v>70.38</v>
      </c>
    </row>
    <row r="548" spans="2:3" x14ac:dyDescent="0.2">
      <c r="B548" s="71">
        <v>9.25</v>
      </c>
      <c r="C548" s="74">
        <v>55.73</v>
      </c>
    </row>
    <row r="549" spans="2:3" x14ac:dyDescent="0.2">
      <c r="B549" s="70">
        <v>6.91</v>
      </c>
      <c r="C549" s="73">
        <v>52.93</v>
      </c>
    </row>
    <row r="550" spans="2:3" x14ac:dyDescent="0.2">
      <c r="B550" s="71">
        <v>8.6199999999999992</v>
      </c>
      <c r="C550" s="74">
        <v>59.47</v>
      </c>
    </row>
    <row r="551" spans="2:3" x14ac:dyDescent="0.2">
      <c r="B551" s="70">
        <v>5.88</v>
      </c>
      <c r="C551" s="73">
        <v>51.43</v>
      </c>
    </row>
    <row r="552" spans="2:3" x14ac:dyDescent="0.2">
      <c r="B552" s="71">
        <v>7.3</v>
      </c>
      <c r="C552" s="74">
        <v>63.35</v>
      </c>
    </row>
    <row r="553" spans="2:3" x14ac:dyDescent="0.2">
      <c r="B553" s="70">
        <v>5.93</v>
      </c>
      <c r="C553" s="73">
        <v>44.95</v>
      </c>
    </row>
    <row r="554" spans="2:3" x14ac:dyDescent="0.2">
      <c r="B554" s="71">
        <v>8.19</v>
      </c>
      <c r="C554" s="74">
        <v>70.88</v>
      </c>
    </row>
    <row r="555" spans="2:3" x14ac:dyDescent="0.2">
      <c r="B555" s="70">
        <v>8.7799999999999994</v>
      </c>
      <c r="C555" s="73">
        <v>61.87</v>
      </c>
    </row>
    <row r="556" spans="2:3" x14ac:dyDescent="0.2">
      <c r="B556" s="71">
        <v>7.29</v>
      </c>
      <c r="C556" s="74">
        <v>36.71</v>
      </c>
    </row>
    <row r="557" spans="2:3" x14ac:dyDescent="0.2">
      <c r="B557" s="70">
        <v>7.37</v>
      </c>
      <c r="C557" s="73">
        <v>47.75</v>
      </c>
    </row>
    <row r="558" spans="2:3" x14ac:dyDescent="0.2">
      <c r="B558" s="71">
        <v>9</v>
      </c>
      <c r="C558" s="74">
        <v>60.12</v>
      </c>
    </row>
    <row r="559" spans="2:3" x14ac:dyDescent="0.2">
      <c r="B559" s="70">
        <v>9.5299999999999994</v>
      </c>
      <c r="C559" s="73">
        <v>57.6</v>
      </c>
    </row>
    <row r="560" spans="2:3" x14ac:dyDescent="0.2">
      <c r="B560" s="71">
        <v>9.85</v>
      </c>
      <c r="C560" s="74">
        <v>42.98</v>
      </c>
    </row>
    <row r="561" spans="2:3" x14ac:dyDescent="0.2">
      <c r="B561" s="70">
        <v>8.74</v>
      </c>
      <c r="C561" s="73">
        <v>83.38</v>
      </c>
    </row>
    <row r="562" spans="2:3" x14ac:dyDescent="0.2">
      <c r="B562" s="71">
        <v>5.73</v>
      </c>
      <c r="C562" s="74">
        <v>71.98</v>
      </c>
    </row>
    <row r="563" spans="2:3" x14ac:dyDescent="0.2">
      <c r="B563" s="70">
        <v>2.67</v>
      </c>
      <c r="C563" s="73">
        <v>25.28</v>
      </c>
    </row>
    <row r="564" spans="2:3" x14ac:dyDescent="0.2">
      <c r="B564" s="71">
        <v>2.4</v>
      </c>
      <c r="C564" s="74">
        <v>31.1</v>
      </c>
    </row>
    <row r="565" spans="2:3" x14ac:dyDescent="0.2">
      <c r="B565" s="70">
        <v>2</v>
      </c>
      <c r="C565" s="73">
        <v>19.010000000000002</v>
      </c>
    </row>
    <row r="566" spans="2:3" x14ac:dyDescent="0.2">
      <c r="B566" s="71">
        <v>4</v>
      </c>
      <c r="C566" s="74">
        <v>21.99</v>
      </c>
    </row>
    <row r="567" spans="2:3" x14ac:dyDescent="0.2">
      <c r="B567" s="70">
        <v>4</v>
      </c>
      <c r="C567" s="73">
        <v>18.28</v>
      </c>
    </row>
    <row r="568" spans="2:3" x14ac:dyDescent="0.2">
      <c r="B568" s="71">
        <v>2.5</v>
      </c>
      <c r="C568" s="74">
        <v>38.9</v>
      </c>
    </row>
    <row r="569" spans="2:3" x14ac:dyDescent="0.2">
      <c r="B569" s="70">
        <v>3.5</v>
      </c>
      <c r="C569" s="73">
        <v>51.98</v>
      </c>
    </row>
    <row r="570" spans="2:3" x14ac:dyDescent="0.2">
      <c r="B570" s="71">
        <v>2.2999999999999998</v>
      </c>
      <c r="C570" s="74">
        <v>39.54</v>
      </c>
    </row>
    <row r="571" spans="2:3" x14ac:dyDescent="0.2">
      <c r="B571" s="70">
        <v>3</v>
      </c>
      <c r="C571" s="73">
        <v>30.68</v>
      </c>
    </row>
    <row r="572" spans="2:3" x14ac:dyDescent="0.2">
      <c r="B572" s="71">
        <v>2.6</v>
      </c>
      <c r="C572" s="74">
        <v>43.26</v>
      </c>
    </row>
    <row r="573" spans="2:3" x14ac:dyDescent="0.2">
      <c r="B573" s="70">
        <v>2.2999999999999998</v>
      </c>
      <c r="C573" s="73">
        <v>14</v>
      </c>
    </row>
    <row r="574" spans="2:3" x14ac:dyDescent="0.2">
      <c r="B574" s="71">
        <v>2</v>
      </c>
      <c r="C574" s="74">
        <v>32.700000000000003</v>
      </c>
    </row>
    <row r="575" spans="2:3" x14ac:dyDescent="0.2">
      <c r="B575" s="70">
        <v>3.3</v>
      </c>
      <c r="C575" s="73">
        <v>33.03</v>
      </c>
    </row>
    <row r="576" spans="2:3" x14ac:dyDescent="0.2">
      <c r="B576" s="71">
        <v>1.8</v>
      </c>
      <c r="C576" s="74">
        <v>31.37</v>
      </c>
    </row>
    <row r="577" spans="2:3" x14ac:dyDescent="0.2">
      <c r="B577" s="70">
        <v>1.5</v>
      </c>
      <c r="C577" s="73">
        <v>34.97</v>
      </c>
    </row>
    <row r="578" spans="2:3" x14ac:dyDescent="0.2">
      <c r="B578" s="71">
        <v>2.8</v>
      </c>
      <c r="C578" s="74">
        <v>63</v>
      </c>
    </row>
    <row r="579" spans="2:3" x14ac:dyDescent="0.2">
      <c r="B579" s="70">
        <v>2.2999999999999998</v>
      </c>
      <c r="C579" s="73">
        <v>51.99</v>
      </c>
    </row>
    <row r="580" spans="2:3" x14ac:dyDescent="0.2">
      <c r="B580" s="71">
        <v>1.8</v>
      </c>
      <c r="C580" s="74">
        <v>67.260000000000005</v>
      </c>
    </row>
    <row r="581" spans="2:3" x14ac:dyDescent="0.2">
      <c r="B581" s="70">
        <v>3.6</v>
      </c>
      <c r="C581" s="73">
        <v>48.57</v>
      </c>
    </row>
    <row r="582" spans="2:3" x14ac:dyDescent="0.2">
      <c r="B582" s="71">
        <v>2.4</v>
      </c>
      <c r="C582" s="74">
        <v>48.14</v>
      </c>
    </row>
    <row r="583" spans="2:3" x14ac:dyDescent="0.2">
      <c r="B583" s="70">
        <v>3.7</v>
      </c>
      <c r="C583" s="73">
        <v>34.53</v>
      </c>
    </row>
    <row r="584" spans="2:3" x14ac:dyDescent="0.2">
      <c r="B584" s="71">
        <v>3.9</v>
      </c>
      <c r="C584" s="74">
        <v>11.95</v>
      </c>
    </row>
    <row r="585" spans="2:3" x14ac:dyDescent="0.2">
      <c r="B585" s="70">
        <v>2.7</v>
      </c>
      <c r="C585" s="73">
        <v>16.579999999999998</v>
      </c>
    </row>
    <row r="586" spans="2:3" x14ac:dyDescent="0.2">
      <c r="B586" s="71">
        <v>3.8</v>
      </c>
      <c r="C586" s="74">
        <v>50.34</v>
      </c>
    </row>
    <row r="587" spans="2:3" x14ac:dyDescent="0.2">
      <c r="B587" s="70">
        <v>3.8</v>
      </c>
      <c r="C587" s="73">
        <v>44.87</v>
      </c>
    </row>
    <row r="588" spans="2:3" x14ac:dyDescent="0.2">
      <c r="B588" s="71">
        <v>3.2</v>
      </c>
      <c r="C588" s="74">
        <v>6.97</v>
      </c>
    </row>
    <row r="589" spans="2:3" x14ac:dyDescent="0.2">
      <c r="B589" s="70">
        <v>3.6</v>
      </c>
      <c r="C589" s="73">
        <v>30.33</v>
      </c>
    </row>
    <row r="590" spans="2:3" x14ac:dyDescent="0.2">
      <c r="B590" s="71">
        <v>2.6</v>
      </c>
      <c r="C590" s="74">
        <v>42.51</v>
      </c>
    </row>
    <row r="591" spans="2:3" x14ac:dyDescent="0.2">
      <c r="B591" s="70">
        <v>2</v>
      </c>
      <c r="C591" s="73">
        <v>29.17</v>
      </c>
    </row>
    <row r="592" spans="2:3" x14ac:dyDescent="0.2">
      <c r="B592" s="71">
        <v>2.9</v>
      </c>
      <c r="C592" s="74">
        <v>31.65</v>
      </c>
    </row>
    <row r="593" spans="2:3" x14ac:dyDescent="0.2">
      <c r="B593" s="70">
        <v>3</v>
      </c>
      <c r="C593" s="73">
        <v>58.89</v>
      </c>
    </row>
    <row r="594" spans="2:3" x14ac:dyDescent="0.2">
      <c r="B594" s="71">
        <v>3.5</v>
      </c>
      <c r="C594" s="74">
        <v>22.47</v>
      </c>
    </row>
    <row r="595" spans="2:3" x14ac:dyDescent="0.2">
      <c r="B595" s="70">
        <v>2.6</v>
      </c>
      <c r="C595" s="73">
        <v>9.8000000000000007</v>
      </c>
    </row>
    <row r="596" spans="2:3" x14ac:dyDescent="0.2">
      <c r="B596" s="71">
        <v>1.5</v>
      </c>
      <c r="C596" s="74">
        <v>23.33</v>
      </c>
    </row>
    <row r="597" spans="2:3" x14ac:dyDescent="0.2">
      <c r="B597" s="70">
        <v>3.8</v>
      </c>
      <c r="C597" s="73">
        <v>23.5</v>
      </c>
    </row>
    <row r="598" spans="2:3" x14ac:dyDescent="0.2">
      <c r="B598" s="71">
        <v>4</v>
      </c>
      <c r="C598" s="74">
        <v>18.52</v>
      </c>
    </row>
    <row r="599" spans="2:3" x14ac:dyDescent="0.2">
      <c r="B599" s="70">
        <v>3.3</v>
      </c>
      <c r="C599" s="73">
        <v>41.24</v>
      </c>
    </row>
    <row r="600" spans="2:3" x14ac:dyDescent="0.2">
      <c r="B600" s="71">
        <v>3.3</v>
      </c>
      <c r="C600" s="74">
        <v>43.28</v>
      </c>
    </row>
    <row r="601" spans="2:3" x14ac:dyDescent="0.2">
      <c r="B601" s="70">
        <v>1.9</v>
      </c>
      <c r="C601" s="73">
        <v>28.32</v>
      </c>
    </row>
    <row r="602" spans="2:3" x14ac:dyDescent="0.2">
      <c r="B602" s="71">
        <v>2.9</v>
      </c>
      <c r="C602" s="74">
        <v>26.05</v>
      </c>
    </row>
    <row r="603" spans="2:3" x14ac:dyDescent="0.2">
      <c r="B603" s="70">
        <v>3.9</v>
      </c>
      <c r="C603" s="73">
        <v>50.93</v>
      </c>
    </row>
    <row r="604" spans="2:3" x14ac:dyDescent="0.2">
      <c r="B604" s="71">
        <v>2.1</v>
      </c>
      <c r="C604" s="74">
        <v>22.59</v>
      </c>
    </row>
    <row r="605" spans="2:3" x14ac:dyDescent="0.2">
      <c r="B605" s="70">
        <v>3.3</v>
      </c>
      <c r="C605" s="73">
        <v>35.11</v>
      </c>
    </row>
    <row r="606" spans="2:3" x14ac:dyDescent="0.2">
      <c r="B606" s="71">
        <v>2.8</v>
      </c>
      <c r="C606" s="74">
        <v>11.14</v>
      </c>
    </row>
    <row r="607" spans="2:3" x14ac:dyDescent="0.2">
      <c r="B607" s="70">
        <v>2.1</v>
      </c>
      <c r="C607" s="73">
        <v>43.17</v>
      </c>
    </row>
    <row r="608" spans="2:3" x14ac:dyDescent="0.2">
      <c r="B608" s="71">
        <v>3.7</v>
      </c>
      <c r="C608" s="74">
        <v>12.65</v>
      </c>
    </row>
    <row r="609" spans="2:3" x14ac:dyDescent="0.2">
      <c r="B609" s="70">
        <v>3.9</v>
      </c>
      <c r="C609" s="73">
        <v>27.84</v>
      </c>
    </row>
    <row r="610" spans="2:3" x14ac:dyDescent="0.2">
      <c r="B610" s="71">
        <v>1.6</v>
      </c>
      <c r="C610" s="74">
        <v>38.61</v>
      </c>
    </row>
    <row r="611" spans="2:3" x14ac:dyDescent="0.2">
      <c r="B611" s="70">
        <v>1.7</v>
      </c>
      <c r="C611" s="73">
        <v>17.32</v>
      </c>
    </row>
    <row r="612" spans="2:3" x14ac:dyDescent="0.2">
      <c r="B612" s="71">
        <v>1.5</v>
      </c>
      <c r="C612" s="74">
        <v>22.81</v>
      </c>
    </row>
    <row r="613" spans="2:3" x14ac:dyDescent="0.2">
      <c r="B613" s="70">
        <v>11.3</v>
      </c>
      <c r="C613" s="73">
        <v>87.75</v>
      </c>
    </row>
    <row r="614" spans="2:3" x14ac:dyDescent="0.2">
      <c r="B614" s="71">
        <v>12</v>
      </c>
      <c r="C614" s="74">
        <v>95.73</v>
      </c>
    </row>
    <row r="615" spans="2:3" x14ac:dyDescent="0.2">
      <c r="B615" s="70">
        <v>12.5</v>
      </c>
      <c r="C615" s="73">
        <v>110.81</v>
      </c>
    </row>
    <row r="616" spans="2:3" x14ac:dyDescent="0.2">
      <c r="B616" s="71">
        <v>12.6</v>
      </c>
      <c r="C616" s="74">
        <v>120.86</v>
      </c>
    </row>
    <row r="617" spans="2:3" x14ac:dyDescent="0.2">
      <c r="B617" s="70">
        <v>10.6</v>
      </c>
      <c r="C617" s="73">
        <v>51.82</v>
      </c>
    </row>
    <row r="618" spans="2:3" x14ac:dyDescent="0.2">
      <c r="B618" s="71">
        <v>12.7</v>
      </c>
      <c r="C618" s="74">
        <v>88.57</v>
      </c>
    </row>
    <row r="619" spans="2:3" x14ac:dyDescent="0.2">
      <c r="B619" s="70">
        <v>10.7</v>
      </c>
      <c r="C619" s="73">
        <v>82.02</v>
      </c>
    </row>
    <row r="620" spans="2:3" x14ac:dyDescent="0.2">
      <c r="B620" s="71">
        <v>12.5</v>
      </c>
      <c r="C620" s="74">
        <v>105.61</v>
      </c>
    </row>
    <row r="621" spans="2:3" x14ac:dyDescent="0.2">
      <c r="B621" s="70">
        <v>12.1</v>
      </c>
      <c r="C621" s="73">
        <v>83.86</v>
      </c>
    </row>
    <row r="622" spans="2:3" x14ac:dyDescent="0.2">
      <c r="B622" s="71">
        <v>12.2</v>
      </c>
      <c r="C622" s="74">
        <v>90.89</v>
      </c>
    </row>
    <row r="623" spans="2:3" x14ac:dyDescent="0.2">
      <c r="B623" s="70">
        <v>12.7</v>
      </c>
      <c r="C623" s="73">
        <v>89.68</v>
      </c>
    </row>
    <row r="624" spans="2:3" x14ac:dyDescent="0.2">
      <c r="B624" s="71">
        <v>10.4</v>
      </c>
      <c r="C624" s="74">
        <v>103.09</v>
      </c>
    </row>
    <row r="625" spans="2:3" x14ac:dyDescent="0.2">
      <c r="B625" s="70">
        <v>11.8</v>
      </c>
      <c r="C625" s="73">
        <v>105.6</v>
      </c>
    </row>
    <row r="626" spans="2:3" x14ac:dyDescent="0.2">
      <c r="B626" s="71">
        <v>11.3</v>
      </c>
      <c r="C626" s="74">
        <v>99.6</v>
      </c>
    </row>
    <row r="627" spans="2:3" x14ac:dyDescent="0.2">
      <c r="B627" s="70">
        <v>11.9</v>
      </c>
      <c r="C627" s="73">
        <v>95.17</v>
      </c>
    </row>
    <row r="628" spans="2:3" x14ac:dyDescent="0.2">
      <c r="B628" s="71">
        <v>12.2</v>
      </c>
      <c r="C628" s="74">
        <v>57.01</v>
      </c>
    </row>
    <row r="629" spans="2:3" x14ac:dyDescent="0.2">
      <c r="B629" s="70">
        <v>11.8</v>
      </c>
      <c r="C629" s="73">
        <v>78.2</v>
      </c>
    </row>
    <row r="630" spans="2:3" x14ac:dyDescent="0.2">
      <c r="B630" s="71">
        <v>12.3</v>
      </c>
      <c r="C630" s="74">
        <v>103.88</v>
      </c>
    </row>
    <row r="631" spans="2:3" x14ac:dyDescent="0.2">
      <c r="B631" s="70">
        <v>12</v>
      </c>
      <c r="C631" s="73">
        <v>83.21</v>
      </c>
    </row>
    <row r="632" spans="2:3" x14ac:dyDescent="0.2">
      <c r="B632" s="71">
        <v>11.9</v>
      </c>
      <c r="C632" s="74">
        <v>114.96</v>
      </c>
    </row>
    <row r="633" spans="2:3" x14ac:dyDescent="0.2">
      <c r="B633" s="70">
        <v>11.9</v>
      </c>
      <c r="C633" s="73">
        <v>79.23</v>
      </c>
    </row>
    <row r="634" spans="2:3" x14ac:dyDescent="0.2">
      <c r="B634" s="71">
        <v>10.199999999999999</v>
      </c>
      <c r="C634" s="74">
        <v>45.79</v>
      </c>
    </row>
    <row r="635" spans="2:3" x14ac:dyDescent="0.2">
      <c r="B635" s="70">
        <v>11.4</v>
      </c>
      <c r="C635" s="73">
        <v>56.37</v>
      </c>
    </row>
    <row r="636" spans="2:3" x14ac:dyDescent="0.2">
      <c r="B636" s="71">
        <v>12.8</v>
      </c>
      <c r="C636" s="74">
        <v>91.79</v>
      </c>
    </row>
    <row r="637" spans="2:3" x14ac:dyDescent="0.2">
      <c r="B637" s="70">
        <v>10.6</v>
      </c>
      <c r="C637" s="73">
        <v>85.37</v>
      </c>
    </row>
    <row r="638" spans="2:3" x14ac:dyDescent="0.2">
      <c r="B638" s="71">
        <v>12.4</v>
      </c>
      <c r="C638" s="74">
        <v>96.74</v>
      </c>
    </row>
    <row r="639" spans="2:3" x14ac:dyDescent="0.2">
      <c r="B639" s="70">
        <v>10</v>
      </c>
      <c r="C639" s="73">
        <v>88.16</v>
      </c>
    </row>
    <row r="640" spans="2:3" x14ac:dyDescent="0.2">
      <c r="B640" s="71">
        <v>12.4</v>
      </c>
      <c r="C640" s="74">
        <v>109.42</v>
      </c>
    </row>
    <row r="641" spans="2:3" x14ac:dyDescent="0.2">
      <c r="B641" s="70">
        <v>11.8</v>
      </c>
      <c r="C641" s="73">
        <v>74.97</v>
      </c>
    </row>
    <row r="642" spans="2:3" x14ac:dyDescent="0.2">
      <c r="B642" s="71">
        <v>11.1</v>
      </c>
      <c r="C642" s="74">
        <v>100.82</v>
      </c>
    </row>
    <row r="643" spans="2:3" x14ac:dyDescent="0.2">
      <c r="B643" s="70">
        <v>11</v>
      </c>
      <c r="C643" s="73">
        <v>63.32</v>
      </c>
    </row>
    <row r="644" spans="2:3" x14ac:dyDescent="0.2">
      <c r="B644" s="71">
        <v>11.3</v>
      </c>
      <c r="C644" s="74">
        <v>92.43</v>
      </c>
    </row>
    <row r="645" spans="2:3" x14ac:dyDescent="0.2">
      <c r="B645" s="70">
        <v>12.1</v>
      </c>
      <c r="C645" s="73">
        <v>92.08</v>
      </c>
    </row>
    <row r="646" spans="2:3" x14ac:dyDescent="0.2">
      <c r="B646" s="71">
        <v>11.7</v>
      </c>
      <c r="C646" s="74">
        <v>93.63</v>
      </c>
    </row>
    <row r="647" spans="2:3" x14ac:dyDescent="0.2">
      <c r="B647" s="70">
        <v>10</v>
      </c>
      <c r="C647" s="73">
        <v>98.34</v>
      </c>
    </row>
    <row r="648" spans="2:3" x14ac:dyDescent="0.2">
      <c r="B648" s="71">
        <v>10.1</v>
      </c>
      <c r="C648" s="74">
        <v>87.63</v>
      </c>
    </row>
    <row r="649" spans="2:3" x14ac:dyDescent="0.2">
      <c r="B649" s="70">
        <v>11.6</v>
      </c>
      <c r="C649" s="73">
        <v>64.5</v>
      </c>
    </row>
    <row r="650" spans="2:3" x14ac:dyDescent="0.2">
      <c r="B650" s="71">
        <v>10.6</v>
      </c>
      <c r="C650" s="74">
        <v>80</v>
      </c>
    </row>
    <row r="651" spans="2:3" x14ac:dyDescent="0.2">
      <c r="B651" s="70">
        <v>10.7</v>
      </c>
      <c r="C651" s="73">
        <v>99.73</v>
      </c>
    </row>
    <row r="652" spans="2:3" x14ac:dyDescent="0.2">
      <c r="B652" s="71">
        <v>10.3</v>
      </c>
      <c r="C652" s="74">
        <v>89.49</v>
      </c>
    </row>
    <row r="653" spans="2:3" x14ac:dyDescent="0.2">
      <c r="B653" s="70">
        <v>11.6</v>
      </c>
      <c r="C653" s="73">
        <v>95.39</v>
      </c>
    </row>
    <row r="654" spans="2:3" x14ac:dyDescent="0.2">
      <c r="B654" s="71">
        <v>12.1</v>
      </c>
      <c r="C654" s="74">
        <v>94.07</v>
      </c>
    </row>
    <row r="655" spans="2:3" x14ac:dyDescent="0.2">
      <c r="B655" s="70">
        <v>12.5</v>
      </c>
      <c r="C655" s="73">
        <v>99.72</v>
      </c>
    </row>
    <row r="656" spans="2:3" x14ac:dyDescent="0.2">
      <c r="B656" s="71">
        <v>10.9</v>
      </c>
      <c r="C656" s="74">
        <v>77.13</v>
      </c>
    </row>
    <row r="657" spans="2:3" x14ac:dyDescent="0.2">
      <c r="B657" s="70">
        <v>13</v>
      </c>
      <c r="C657" s="73">
        <v>67.31</v>
      </c>
    </row>
    <row r="658" spans="2:3" x14ac:dyDescent="0.2">
      <c r="B658" s="71">
        <v>11.5</v>
      </c>
      <c r="C658" s="74">
        <v>118.49</v>
      </c>
    </row>
    <row r="659" spans="2:3" x14ac:dyDescent="0.2">
      <c r="B659" s="70">
        <v>11.1</v>
      </c>
      <c r="C659" s="73">
        <v>67.2</v>
      </c>
    </row>
    <row r="660" spans="2:3" x14ac:dyDescent="0.2">
      <c r="B660" s="71">
        <v>12.5</v>
      </c>
      <c r="C660" s="74">
        <v>100.55</v>
      </c>
    </row>
    <row r="661" spans="2:3" x14ac:dyDescent="0.2">
      <c r="B661" s="70">
        <v>12.2</v>
      </c>
      <c r="C661" s="73">
        <v>79.36</v>
      </c>
    </row>
    <row r="662" spans="2:3" x14ac:dyDescent="0.2">
      <c r="B662" s="71">
        <v>12.4</v>
      </c>
      <c r="C662" s="74">
        <v>90.66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DATA Février (clients affiliés)</vt:lpstr>
      <vt:lpstr>Tableau Client x Catégorie</vt:lpstr>
      <vt:lpstr>Temps passé - Montant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jordancanonne1995@gmail.com</cp:lastModifiedBy>
  <dcterms:created xsi:type="dcterms:W3CDTF">2021-02-27T08:31:49Z</dcterms:created>
  <dcterms:modified xsi:type="dcterms:W3CDTF">2023-06-11T17:59:50Z</dcterms:modified>
</cp:coreProperties>
</file>